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OneDrive\Documents\Data Projects and ideas\"/>
    </mc:Choice>
  </mc:AlternateContent>
  <xr:revisionPtr revIDLastSave="0" documentId="8_{7062FF99-BFCE-488D-B2EB-AF40269C16A5}" xr6:coauthVersionLast="47" xr6:coauthVersionMax="47" xr10:uidLastSave="{00000000-0000-0000-0000-000000000000}"/>
  <bookViews>
    <workbookView xWindow="11424" yWindow="0" windowWidth="11712" windowHeight="13056" firstSheet="1" activeTab="1" xr2:uid="{289F0E23-4715-4172-9CA2-7405BFD7467C}"/>
  </bookViews>
  <sheets>
    <sheet name="Global_Mobile_Prices_2025_Exten" sheetId="1" r:id="rId1"/>
    <sheet name="T-test results" sheetId="5" r:id="rId2"/>
    <sheet name="Diff 5G-non5G" sheetId="4" r:id="rId3"/>
    <sheet name="Descriptives" sheetId="3" r:id="rId4"/>
  </sheets>
  <definedNames>
    <definedName name="_xlnm._FilterDatabase" localSheetId="0" hidden="1">Global_Mobile_Prices_2025_Exten!$A$1:$Q$1001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00" i="1" l="1"/>
  <c r="H990" i="1"/>
  <c r="H986" i="1"/>
  <c r="H982" i="1"/>
  <c r="H981" i="1"/>
  <c r="H973" i="1"/>
  <c r="H968" i="1"/>
  <c r="H967" i="1"/>
  <c r="H961" i="1"/>
  <c r="H954" i="1"/>
  <c r="H950" i="1"/>
  <c r="H944" i="1"/>
  <c r="H936" i="1"/>
  <c r="H934" i="1"/>
  <c r="H916" i="1"/>
  <c r="H912" i="1"/>
  <c r="H911" i="1"/>
  <c r="H901" i="1"/>
  <c r="H896" i="1"/>
  <c r="H892" i="1"/>
  <c r="H879" i="1"/>
  <c r="H878" i="1"/>
  <c r="H875" i="1"/>
  <c r="H872" i="1"/>
  <c r="H870" i="1"/>
  <c r="H869" i="1"/>
  <c r="H868" i="1"/>
  <c r="H867" i="1"/>
  <c r="H866" i="1"/>
  <c r="H854" i="1"/>
  <c r="H842" i="1"/>
  <c r="H837" i="1"/>
  <c r="H834" i="1"/>
  <c r="H831" i="1"/>
  <c r="H828" i="1"/>
  <c r="H826" i="1"/>
  <c r="H824" i="1"/>
  <c r="H823" i="1"/>
  <c r="H817" i="1"/>
  <c r="H816" i="1"/>
  <c r="H813" i="1"/>
  <c r="H805" i="1"/>
  <c r="H790" i="1"/>
  <c r="H784" i="1"/>
  <c r="H782" i="1"/>
  <c r="H777" i="1"/>
  <c r="H771" i="1"/>
  <c r="H770" i="1"/>
  <c r="H767" i="1"/>
  <c r="H763" i="1"/>
  <c r="H760" i="1"/>
  <c r="H759" i="1"/>
  <c r="H758" i="1"/>
  <c r="H755" i="1"/>
  <c r="H752" i="1"/>
  <c r="H750" i="1"/>
  <c r="H749" i="1"/>
  <c r="H746" i="1"/>
  <c r="H742" i="1"/>
  <c r="H741" i="1"/>
  <c r="H740" i="1"/>
  <c r="H738" i="1"/>
  <c r="H736" i="1"/>
  <c r="H735" i="1"/>
  <c r="H728" i="1"/>
  <c r="H727" i="1"/>
  <c r="H707" i="1"/>
  <c r="H702" i="1"/>
  <c r="H699" i="1"/>
  <c r="H698" i="1"/>
  <c r="H688" i="1"/>
  <c r="H684" i="1"/>
  <c r="H673" i="1"/>
  <c r="H672" i="1"/>
  <c r="H671" i="1"/>
  <c r="H670" i="1"/>
  <c r="H664" i="1"/>
  <c r="H652" i="1"/>
  <c r="H642" i="1"/>
  <c r="H637" i="1"/>
  <c r="H636" i="1"/>
  <c r="H632" i="1"/>
  <c r="H626" i="1"/>
  <c r="H625" i="1"/>
  <c r="H620" i="1"/>
  <c r="H617" i="1"/>
  <c r="H614" i="1"/>
  <c r="H610" i="1"/>
  <c r="H609" i="1"/>
  <c r="H607" i="1"/>
  <c r="H606" i="1"/>
  <c r="H604" i="1"/>
  <c r="H602" i="1"/>
  <c r="H594" i="1"/>
  <c r="H592" i="1"/>
  <c r="H590" i="1"/>
  <c r="H588" i="1"/>
  <c r="H587" i="1"/>
  <c r="H586" i="1"/>
  <c r="H583" i="1"/>
  <c r="H580" i="1"/>
  <c r="H578" i="1"/>
  <c r="H574" i="1"/>
  <c r="H573" i="1"/>
  <c r="H563" i="1"/>
  <c r="H559" i="1"/>
  <c r="H555" i="1"/>
  <c r="H551" i="1"/>
  <c r="H548" i="1"/>
  <c r="H541" i="1"/>
  <c r="H532" i="1"/>
  <c r="H524" i="1"/>
  <c r="H522" i="1"/>
  <c r="H519" i="1"/>
  <c r="H517" i="1"/>
  <c r="H516" i="1"/>
  <c r="H514" i="1"/>
  <c r="H509" i="1"/>
  <c r="H508" i="1"/>
  <c r="H507" i="1"/>
  <c r="H503" i="1"/>
  <c r="H492" i="1"/>
  <c r="H490" i="1"/>
  <c r="H489" i="1"/>
  <c r="H487" i="1"/>
  <c r="H485" i="1"/>
  <c r="H484" i="1"/>
  <c r="H483" i="1"/>
  <c r="H480" i="1"/>
  <c r="H473" i="1"/>
  <c r="H463" i="1"/>
  <c r="H457" i="1"/>
  <c r="H455" i="1"/>
  <c r="H454" i="1"/>
  <c r="H451" i="1"/>
  <c r="H446" i="1"/>
  <c r="H444" i="1"/>
  <c r="H440" i="1"/>
  <c r="H438" i="1"/>
  <c r="H432" i="1"/>
  <c r="H431" i="1"/>
  <c r="H429" i="1"/>
  <c r="H423" i="1"/>
  <c r="H422" i="1"/>
  <c r="H413" i="1"/>
  <c r="H411" i="1"/>
  <c r="H408" i="1"/>
  <c r="H407" i="1"/>
  <c r="H400" i="1"/>
  <c r="H399" i="1"/>
  <c r="H397" i="1"/>
  <c r="H395" i="1"/>
  <c r="H393" i="1"/>
  <c r="H391" i="1"/>
  <c r="H389" i="1"/>
  <c r="H388" i="1"/>
  <c r="H385" i="1"/>
  <c r="H380" i="1"/>
  <c r="H379" i="1"/>
  <c r="H378" i="1"/>
  <c r="H377" i="1"/>
  <c r="H374" i="1"/>
  <c r="H370" i="1"/>
  <c r="H366" i="1"/>
  <c r="H362" i="1"/>
  <c r="H356" i="1"/>
  <c r="H353" i="1"/>
  <c r="H332" i="1"/>
  <c r="H330" i="1"/>
  <c r="H324" i="1"/>
  <c r="H319" i="1"/>
  <c r="H304" i="1"/>
  <c r="H301" i="1"/>
  <c r="H300" i="1"/>
  <c r="H294" i="1"/>
  <c r="H291" i="1"/>
  <c r="H286" i="1"/>
  <c r="H285" i="1"/>
  <c r="H284" i="1"/>
  <c r="H274" i="1"/>
  <c r="H272" i="1"/>
  <c r="H271" i="1"/>
  <c r="H268" i="1"/>
  <c r="H267" i="1"/>
  <c r="H259" i="1"/>
  <c r="H257" i="1"/>
  <c r="H255" i="1"/>
  <c r="H254" i="1"/>
  <c r="H251" i="1"/>
  <c r="H246" i="1"/>
  <c r="H240" i="1"/>
  <c r="H233" i="1"/>
  <c r="H227" i="1"/>
  <c r="H219" i="1"/>
  <c r="H209" i="1"/>
  <c r="H207" i="1"/>
  <c r="H203" i="1"/>
  <c r="H200" i="1"/>
  <c r="H195" i="1"/>
  <c r="H194" i="1"/>
  <c r="H190" i="1"/>
  <c r="H189" i="1"/>
  <c r="H186" i="1"/>
  <c r="H185" i="1"/>
  <c r="H179" i="1"/>
  <c r="H175" i="1"/>
  <c r="H172" i="1"/>
  <c r="H164" i="1"/>
  <c r="H157" i="1"/>
  <c r="H156" i="1"/>
  <c r="H154" i="1"/>
  <c r="H147" i="1"/>
  <c r="H142" i="1"/>
  <c r="H134" i="1"/>
  <c r="H133" i="1"/>
  <c r="H132" i="1"/>
  <c r="H130" i="1"/>
  <c r="H128" i="1"/>
  <c r="H121" i="1"/>
  <c r="H113" i="1"/>
  <c r="H112" i="1"/>
  <c r="H111" i="1"/>
  <c r="H109" i="1"/>
  <c r="H106" i="1"/>
  <c r="H104" i="1"/>
  <c r="H99" i="1"/>
  <c r="H95" i="1"/>
  <c r="H89" i="1"/>
  <c r="H88" i="1"/>
  <c r="H87" i="1"/>
  <c r="H86" i="1"/>
  <c r="H84" i="1"/>
  <c r="H83" i="1"/>
  <c r="H78" i="1"/>
  <c r="H68" i="1"/>
  <c r="H62" i="1"/>
  <c r="H59" i="1"/>
  <c r="H38" i="1"/>
  <c r="H35" i="1"/>
  <c r="H29" i="1"/>
  <c r="H18" i="1"/>
  <c r="H16" i="1"/>
  <c r="H15" i="1"/>
  <c r="H13" i="1"/>
  <c r="H10" i="1"/>
  <c r="H9" i="1"/>
  <c r="H5" i="1"/>
  <c r="E1000" i="1"/>
  <c r="E990" i="1"/>
  <c r="E986" i="1"/>
  <c r="E982" i="1"/>
  <c r="E981" i="1"/>
  <c r="E973" i="1"/>
  <c r="E968" i="1"/>
  <c r="E967" i="1"/>
  <c r="E961" i="1"/>
  <c r="E954" i="1"/>
  <c r="E950" i="1"/>
  <c r="E944" i="1"/>
  <c r="E936" i="1"/>
  <c r="E934" i="1"/>
  <c r="E916" i="1"/>
  <c r="E912" i="1"/>
  <c r="E911" i="1"/>
  <c r="E901" i="1"/>
  <c r="E896" i="1"/>
  <c r="E892" i="1"/>
  <c r="E879" i="1"/>
  <c r="E878" i="1"/>
  <c r="E875" i="1"/>
  <c r="E872" i="1"/>
  <c r="E870" i="1"/>
  <c r="E869" i="1"/>
  <c r="E868" i="1"/>
  <c r="E867" i="1"/>
  <c r="E866" i="1"/>
  <c r="E854" i="1"/>
  <c r="E842" i="1"/>
  <c r="E837" i="1"/>
  <c r="E834" i="1"/>
  <c r="E831" i="1"/>
  <c r="E828" i="1"/>
  <c r="E826" i="1"/>
  <c r="E824" i="1"/>
  <c r="E823" i="1"/>
  <c r="E817" i="1"/>
  <c r="E816" i="1"/>
  <c r="E813" i="1"/>
  <c r="E805" i="1"/>
  <c r="E790" i="1"/>
  <c r="E784" i="1"/>
  <c r="E782" i="1"/>
  <c r="E777" i="1"/>
  <c r="E771" i="1"/>
  <c r="E770" i="1"/>
  <c r="E767" i="1"/>
  <c r="E763" i="1"/>
  <c r="E760" i="1"/>
  <c r="E759" i="1"/>
  <c r="E758" i="1"/>
  <c r="E755" i="1"/>
  <c r="E752" i="1"/>
  <c r="E750" i="1"/>
  <c r="E749" i="1"/>
  <c r="E746" i="1"/>
  <c r="E742" i="1"/>
  <c r="E741" i="1"/>
  <c r="E740" i="1"/>
  <c r="E738" i="1"/>
  <c r="E736" i="1"/>
  <c r="E735" i="1"/>
  <c r="E728" i="1"/>
  <c r="E727" i="1"/>
  <c r="E707" i="1"/>
  <c r="E702" i="1"/>
  <c r="E699" i="1"/>
  <c r="E698" i="1"/>
  <c r="E688" i="1"/>
  <c r="E684" i="1"/>
  <c r="E673" i="1"/>
  <c r="E672" i="1"/>
  <c r="E671" i="1"/>
  <c r="E670" i="1"/>
  <c r="E664" i="1"/>
  <c r="E652" i="1"/>
  <c r="E642" i="1"/>
  <c r="E637" i="1"/>
  <c r="E636" i="1"/>
  <c r="E632" i="1"/>
  <c r="E626" i="1"/>
  <c r="E625" i="1"/>
  <c r="E620" i="1"/>
  <c r="E617" i="1"/>
  <c r="E614" i="1"/>
  <c r="E610" i="1"/>
  <c r="E609" i="1"/>
  <c r="E607" i="1"/>
  <c r="E606" i="1"/>
  <c r="E604" i="1"/>
  <c r="E602" i="1"/>
  <c r="E594" i="1"/>
  <c r="E592" i="1"/>
  <c r="E590" i="1"/>
  <c r="E588" i="1"/>
  <c r="E587" i="1"/>
  <c r="E586" i="1"/>
  <c r="E583" i="1"/>
  <c r="E580" i="1"/>
  <c r="E578" i="1"/>
  <c r="E574" i="1"/>
  <c r="E573" i="1"/>
  <c r="E563" i="1"/>
  <c r="E559" i="1"/>
  <c r="E555" i="1"/>
  <c r="E551" i="1"/>
  <c r="E548" i="1"/>
  <c r="E541" i="1"/>
  <c r="E532" i="1"/>
  <c r="E524" i="1"/>
  <c r="E522" i="1"/>
  <c r="E519" i="1"/>
  <c r="E517" i="1"/>
  <c r="E516" i="1"/>
  <c r="E514" i="1"/>
  <c r="E509" i="1"/>
  <c r="E508" i="1"/>
  <c r="E507" i="1"/>
  <c r="E503" i="1"/>
  <c r="E492" i="1"/>
  <c r="E490" i="1"/>
  <c r="E489" i="1"/>
  <c r="E487" i="1"/>
  <c r="E485" i="1"/>
  <c r="E484" i="1"/>
  <c r="E483" i="1"/>
  <c r="E480" i="1"/>
  <c r="E473" i="1"/>
  <c r="E463" i="1"/>
  <c r="E457" i="1"/>
  <c r="E455" i="1"/>
  <c r="E454" i="1"/>
  <c r="E451" i="1"/>
  <c r="E446" i="1"/>
  <c r="E444" i="1"/>
  <c r="E440" i="1"/>
  <c r="E438" i="1"/>
  <c r="E432" i="1"/>
  <c r="E431" i="1"/>
  <c r="E429" i="1"/>
  <c r="E423" i="1"/>
  <c r="E422" i="1"/>
  <c r="E413" i="1"/>
  <c r="E411" i="1"/>
  <c r="E408" i="1"/>
  <c r="E407" i="1"/>
  <c r="E400" i="1"/>
  <c r="E399" i="1"/>
  <c r="E397" i="1"/>
  <c r="E395" i="1"/>
  <c r="E393" i="1"/>
  <c r="E391" i="1"/>
  <c r="E389" i="1"/>
  <c r="E388" i="1"/>
  <c r="E385" i="1"/>
  <c r="E380" i="1"/>
  <c r="E379" i="1"/>
  <c r="E378" i="1"/>
  <c r="E377" i="1"/>
  <c r="E374" i="1"/>
  <c r="E370" i="1"/>
  <c r="E366" i="1"/>
  <c r="E362" i="1"/>
  <c r="E356" i="1"/>
  <c r="E353" i="1"/>
  <c r="E332" i="1"/>
  <c r="E330" i="1"/>
  <c r="E324" i="1"/>
  <c r="E319" i="1"/>
  <c r="E304" i="1"/>
  <c r="E301" i="1"/>
  <c r="E300" i="1"/>
  <c r="E294" i="1"/>
  <c r="E291" i="1"/>
  <c r="E286" i="1"/>
  <c r="E285" i="1"/>
  <c r="E284" i="1"/>
  <c r="E274" i="1"/>
  <c r="E272" i="1"/>
  <c r="E271" i="1"/>
  <c r="E268" i="1"/>
  <c r="E267" i="1"/>
  <c r="E259" i="1"/>
  <c r="E257" i="1"/>
  <c r="E255" i="1"/>
  <c r="E254" i="1"/>
  <c r="E251" i="1"/>
  <c r="E246" i="1"/>
  <c r="E240" i="1"/>
  <c r="E233" i="1"/>
  <c r="E227" i="1"/>
  <c r="E219" i="1"/>
  <c r="E209" i="1"/>
  <c r="E207" i="1"/>
  <c r="E203" i="1"/>
  <c r="E200" i="1"/>
  <c r="E195" i="1"/>
  <c r="E194" i="1"/>
  <c r="E190" i="1"/>
  <c r="E189" i="1"/>
  <c r="E186" i="1"/>
  <c r="E185" i="1"/>
  <c r="E179" i="1"/>
  <c r="E175" i="1"/>
  <c r="E172" i="1"/>
  <c r="E164" i="1"/>
  <c r="E157" i="1"/>
  <c r="E156" i="1"/>
  <c r="E154" i="1"/>
  <c r="E147" i="1"/>
  <c r="E142" i="1"/>
  <c r="E134" i="1"/>
  <c r="E133" i="1"/>
  <c r="E132" i="1"/>
  <c r="E130" i="1"/>
  <c r="E128" i="1"/>
  <c r="E121" i="1"/>
  <c r="E113" i="1"/>
  <c r="E112" i="1"/>
  <c r="E111" i="1"/>
  <c r="E109" i="1"/>
  <c r="E106" i="1"/>
  <c r="E104" i="1"/>
  <c r="E99" i="1"/>
  <c r="E95" i="1"/>
  <c r="E89" i="1"/>
  <c r="E88" i="1"/>
  <c r="E87" i="1"/>
  <c r="E86" i="1"/>
  <c r="E84" i="1"/>
  <c r="E83" i="1"/>
  <c r="E78" i="1"/>
  <c r="E68" i="1"/>
  <c r="E62" i="1"/>
  <c r="E59" i="1"/>
  <c r="E38" i="1"/>
  <c r="E35" i="1"/>
  <c r="E29" i="1"/>
  <c r="E18" i="1"/>
  <c r="E16" i="1"/>
  <c r="E15" i="1"/>
  <c r="E13" i="1"/>
  <c r="E10" i="1"/>
  <c r="E9" i="1"/>
  <c r="E5" i="1"/>
</calcChain>
</file>

<file path=xl/sharedStrings.xml><?xml version="1.0" encoding="utf-8"?>
<sst xmlns="http://schemas.openxmlformats.org/spreadsheetml/2006/main" count="6076" uniqueCount="1071">
  <si>
    <t>brand</t>
  </si>
  <si>
    <t>model</t>
  </si>
  <si>
    <t>price_usd</t>
  </si>
  <si>
    <t>ram_gb</t>
  </si>
  <si>
    <t>storage_gb</t>
  </si>
  <si>
    <t>camera_mp</t>
  </si>
  <si>
    <t>battery_mah</t>
  </si>
  <si>
    <t>display_size_inch</t>
  </si>
  <si>
    <t>charging_watt</t>
  </si>
  <si>
    <t>5g_support</t>
  </si>
  <si>
    <t>os</t>
  </si>
  <si>
    <t>processor</t>
  </si>
  <si>
    <t>rating</t>
  </si>
  <si>
    <t>release_month</t>
  </si>
  <si>
    <t>year</t>
  </si>
  <si>
    <t>Oppo</t>
  </si>
  <si>
    <t>A98 111</t>
  </si>
  <si>
    <t>Yes</t>
  </si>
  <si>
    <t>Android</t>
  </si>
  <si>
    <t>Helio G99</t>
  </si>
  <si>
    <t>February</t>
  </si>
  <si>
    <t>Realme</t>
  </si>
  <si>
    <t>11 Pro+ 843</t>
  </si>
  <si>
    <t>Tensor G4</t>
  </si>
  <si>
    <t>August</t>
  </si>
  <si>
    <t>Xiaomi</t>
  </si>
  <si>
    <t>Redmi Note 14 Pro 461</t>
  </si>
  <si>
    <t>A18 Pro</t>
  </si>
  <si>
    <t>March</t>
  </si>
  <si>
    <t>Vivo</t>
  </si>
  <si>
    <t>V29e 744</t>
  </si>
  <si>
    <t>Exynos 2400</t>
  </si>
  <si>
    <t>Apple</t>
  </si>
  <si>
    <t>iPhone 16 Pro Max 927</t>
  </si>
  <si>
    <t>iOS</t>
  </si>
  <si>
    <t>Dimensity 9300</t>
  </si>
  <si>
    <t>OnePlus</t>
  </si>
  <si>
    <t>Nord 4 295</t>
  </si>
  <si>
    <t>No</t>
  </si>
  <si>
    <t>May</t>
  </si>
  <si>
    <t>Infinix</t>
  </si>
  <si>
    <t>GT 20 Pro 112</t>
  </si>
  <si>
    <t>April</t>
  </si>
  <si>
    <t>iPhone 16 Pro Max 232</t>
  </si>
  <si>
    <t>November</t>
  </si>
  <si>
    <t>Hot 40 111</t>
  </si>
  <si>
    <t>July</t>
  </si>
  <si>
    <t>GT 7 Pro 668</t>
  </si>
  <si>
    <t>Snapdragon 6 Gen 1</t>
  </si>
  <si>
    <t>Samsung</t>
  </si>
  <si>
    <t>Galaxy Z Fold6 423</t>
  </si>
  <si>
    <t>Snapdragon 8 Gen 3</t>
  </si>
  <si>
    <t>iPhone 14 397</t>
  </si>
  <si>
    <t>V30 400</t>
  </si>
  <si>
    <t>December</t>
  </si>
  <si>
    <t>Narzo 70 620</t>
  </si>
  <si>
    <t>October</t>
  </si>
  <si>
    <t>Poco F6 497</t>
  </si>
  <si>
    <t>Poco X6 Pro 400</t>
  </si>
  <si>
    <t>Hot 40 658</t>
  </si>
  <si>
    <t>Galaxy Z Fold6 163</t>
  </si>
  <si>
    <t>Snapdragon 7+ Gen 2</t>
  </si>
  <si>
    <t>Nord CE 4 Lite 503</t>
  </si>
  <si>
    <t>OnePlus 12 729</t>
  </si>
  <si>
    <t>January</t>
  </si>
  <si>
    <t>Galaxy Z Fold6 195</t>
  </si>
  <si>
    <t>Google</t>
  </si>
  <si>
    <t>Pixel 9 Pro 845</t>
  </si>
  <si>
    <t>iPhone 14 328</t>
  </si>
  <si>
    <t>GT Neo 6 18</t>
  </si>
  <si>
    <t>Pixel 7a 954</t>
  </si>
  <si>
    <t>June</t>
  </si>
  <si>
    <t>Galaxy S24 662</t>
  </si>
  <si>
    <t>Note 40 Pro 925</t>
  </si>
  <si>
    <t>Hot 40 967</t>
  </si>
  <si>
    <t>GT 7 Pro 119</t>
  </si>
  <si>
    <t>X100 Pro 546</t>
  </si>
  <si>
    <t>Galaxy M55 471</t>
  </si>
  <si>
    <t>Y100A 290</t>
  </si>
  <si>
    <t>Poco F6 169</t>
  </si>
  <si>
    <t>iPhone 14 43</t>
  </si>
  <si>
    <t>GT 20 Pro 383</t>
  </si>
  <si>
    <t>September</t>
  </si>
  <si>
    <t>Reno 11 961</t>
  </si>
  <si>
    <t>Zero 30 940</t>
  </si>
  <si>
    <t>Pixel 8 757</t>
  </si>
  <si>
    <t>Galaxy Z Fold6 721</t>
  </si>
  <si>
    <t>iPhone 16 Pro Max 362</t>
  </si>
  <si>
    <t>Galaxy Z Fold6 609</t>
  </si>
  <si>
    <t>Pixel 9 879</t>
  </si>
  <si>
    <t>Galaxy A75 850</t>
  </si>
  <si>
    <t>C65 386</t>
  </si>
  <si>
    <t>Galaxy A75 912</t>
  </si>
  <si>
    <t>Pixel 9 Pro 577</t>
  </si>
  <si>
    <t>OnePlus 13 933</t>
  </si>
  <si>
    <t>OnePlus 13 787</t>
  </si>
  <si>
    <t>Pixel Fold 2 474</t>
  </si>
  <si>
    <t>Smart 8 176</t>
  </si>
  <si>
    <t>X100 Pro 110</t>
  </si>
  <si>
    <t>OnePlus 13R 9</t>
  </si>
  <si>
    <t>Redmi Note 14 Pro 928</t>
  </si>
  <si>
    <t>Mi 13 Ultra 846</t>
  </si>
  <si>
    <t>C65 954</t>
  </si>
  <si>
    <t>Galaxy M55 286</t>
  </si>
  <si>
    <t>Pixel 9 470</t>
  </si>
  <si>
    <t>Mi 14 324</t>
  </si>
  <si>
    <t>Pixel 9 567</t>
  </si>
  <si>
    <t>GT 7 Pro 133</t>
  </si>
  <si>
    <t>Redmi Note 14 Pro 603</t>
  </si>
  <si>
    <t>Galaxy S24 506</t>
  </si>
  <si>
    <t>OnePlus 13 212</t>
  </si>
  <si>
    <t>Pixel 9 Pro 620</t>
  </si>
  <si>
    <t>Find X7 161</t>
  </si>
  <si>
    <t>Reno 11 73</t>
  </si>
  <si>
    <t>11 Pro+ 376</t>
  </si>
  <si>
    <t>GT Neo 6 992</t>
  </si>
  <si>
    <t>Galaxy Z Fold6 466</t>
  </si>
  <si>
    <t>11 Pro+ 697</t>
  </si>
  <si>
    <t>Mi 14 89</t>
  </si>
  <si>
    <t>GT 7 Pro 108</t>
  </si>
  <si>
    <t>Pixel 9 Pro 288</t>
  </si>
  <si>
    <t>C65 33</t>
  </si>
  <si>
    <t>Smart 8 822</t>
  </si>
  <si>
    <t>Poco F6 373</t>
  </si>
  <si>
    <t>OnePlus 13 908</t>
  </si>
  <si>
    <t>Reno 11 265</t>
  </si>
  <si>
    <t>11 Pro+ 814</t>
  </si>
  <si>
    <t>Redmi Note 14 Pro 634</t>
  </si>
  <si>
    <t>iPhone 16 Pro 48</t>
  </si>
  <si>
    <t>Y200 603</t>
  </si>
  <si>
    <t>Galaxy S24 Ultra 609</t>
  </si>
  <si>
    <t>Smart 8 26</t>
  </si>
  <si>
    <t>Find X7 15</t>
  </si>
  <si>
    <t>Pixel 9 Pro 753</t>
  </si>
  <si>
    <t>A98 108</t>
  </si>
  <si>
    <t>Reno 11 946</t>
  </si>
  <si>
    <t>Y200 811</t>
  </si>
  <si>
    <t>Poco X6 Pro 823</t>
  </si>
  <si>
    <t>Poco X6 Pro 537</t>
  </si>
  <si>
    <t>Nord 4 68</t>
  </si>
  <si>
    <t>Galaxy A75 854</t>
  </si>
  <si>
    <t>Poco F6 669</t>
  </si>
  <si>
    <t>Pixel 8 540</t>
  </si>
  <si>
    <t>Reno 11 404</t>
  </si>
  <si>
    <t>iPhone 16 Pro Max 413</t>
  </si>
  <si>
    <t>Zero 30 771</t>
  </si>
  <si>
    <t>Reno 12 96</t>
  </si>
  <si>
    <t>GT 7 Pro 272</t>
  </si>
  <si>
    <t>OnePlus 12 755</t>
  </si>
  <si>
    <t>iPhone 16 945</t>
  </si>
  <si>
    <t>V29e 240</t>
  </si>
  <si>
    <t>Pixel Fold 2 375</t>
  </si>
  <si>
    <t>Zero 30 458</t>
  </si>
  <si>
    <t>Poco X6 Pro 798</t>
  </si>
  <si>
    <t>Reno 12 410</t>
  </si>
  <si>
    <t>V29e 743</t>
  </si>
  <si>
    <t>GT Neo 6 334</t>
  </si>
  <si>
    <t>Reno 12 440</t>
  </si>
  <si>
    <t>Mi 13 Ultra 418</t>
  </si>
  <si>
    <t>V29e 261</t>
  </si>
  <si>
    <t>Smart 8 626</t>
  </si>
  <si>
    <t>Narzo 70 335</t>
  </si>
  <si>
    <t>Y100A 133</t>
  </si>
  <si>
    <t>Smart 8 549</t>
  </si>
  <si>
    <t>Galaxy Z Fold6 878</t>
  </si>
  <si>
    <t>Note 40 Pro 172</t>
  </si>
  <si>
    <t>Pixel 9 Pro 78</t>
  </si>
  <si>
    <t>Mi 14 821</t>
  </si>
  <si>
    <t>Smart 8 989</t>
  </si>
  <si>
    <t>Pixel 8 416</t>
  </si>
  <si>
    <t>Galaxy S24 Ultra 375</t>
  </si>
  <si>
    <t>Galaxy M55 969</t>
  </si>
  <si>
    <t>GT 20 Pro 745</t>
  </si>
  <si>
    <t>Reno 12 808</t>
  </si>
  <si>
    <t>Poco F6 756</t>
  </si>
  <si>
    <t>Y100A 340</t>
  </si>
  <si>
    <t>Poco F6 396</t>
  </si>
  <si>
    <t>Nord CE 4 Lite 979</t>
  </si>
  <si>
    <t>Y100A 749</t>
  </si>
  <si>
    <t>Reno 12 300</t>
  </si>
  <si>
    <t>Pixel Fold 2 185</t>
  </si>
  <si>
    <t>Pixel 9 297</t>
  </si>
  <si>
    <t>Pixel 8 488</t>
  </si>
  <si>
    <t>A98 349</t>
  </si>
  <si>
    <t>F27 Pro 543</t>
  </si>
  <si>
    <t>OnePlus 13R 921</t>
  </si>
  <si>
    <t>Hot 40 184</t>
  </si>
  <si>
    <t>Y100A 553</t>
  </si>
  <si>
    <t>V29e 256</t>
  </si>
  <si>
    <t>Galaxy S24 289</t>
  </si>
  <si>
    <t>Pixel 9 Pro 249</t>
  </si>
  <si>
    <t>Smart 8 731</t>
  </si>
  <si>
    <t>GT Neo 6 746</t>
  </si>
  <si>
    <t>Y100A 908</t>
  </si>
  <si>
    <t>C65 370</t>
  </si>
  <si>
    <t>Narzo 70 410</t>
  </si>
  <si>
    <t>Mi 14 338</t>
  </si>
  <si>
    <t>Narzo 70 939</t>
  </si>
  <si>
    <t>Nord CE 4 Lite 268</t>
  </si>
  <si>
    <t>Mi 13 Ultra 849</t>
  </si>
  <si>
    <t>Mi 14 53</t>
  </si>
  <si>
    <t>Galaxy S24 Ultra 98</t>
  </si>
  <si>
    <t>iPhone 16 Pro 315</t>
  </si>
  <si>
    <t>iPhone 16 714</t>
  </si>
  <si>
    <t>Galaxy S24 378</t>
  </si>
  <si>
    <t>Poco X6 Pro 204</t>
  </si>
  <si>
    <t>GT 20 Pro 907</t>
  </si>
  <si>
    <t>F27 Pro 223</t>
  </si>
  <si>
    <t>iPhone 16 Pro 763</t>
  </si>
  <si>
    <t>iPhone 14 441</t>
  </si>
  <si>
    <t>V30 398</t>
  </si>
  <si>
    <t>Galaxy S24 421</t>
  </si>
  <si>
    <t>OnePlus 13 728</t>
  </si>
  <si>
    <t>OnePlus 13R 421</t>
  </si>
  <si>
    <t>OnePlus 13 838</t>
  </si>
  <si>
    <t>Pixel Fold 2 528</t>
  </si>
  <si>
    <t>Note 40 Pro 164</t>
  </si>
  <si>
    <t>Reno 11 399</t>
  </si>
  <si>
    <t>C65 776</t>
  </si>
  <si>
    <t>Hot 40 117</t>
  </si>
  <si>
    <t>GT 20 Pro 990</t>
  </si>
  <si>
    <t>Reno 12 768</t>
  </si>
  <si>
    <t>Mi 13 Ultra 677</t>
  </si>
  <si>
    <t>Poco X6 Pro 150</t>
  </si>
  <si>
    <t>OnePlus 12 683</t>
  </si>
  <si>
    <t>Pixel 9 Pro 111</t>
  </si>
  <si>
    <t>Smart 8 818</t>
  </si>
  <si>
    <t>Nord CE 4 Lite 586</t>
  </si>
  <si>
    <t>C65 285</t>
  </si>
  <si>
    <t>Y200 328</t>
  </si>
  <si>
    <t>iPhone 15 325</t>
  </si>
  <si>
    <t>OnePlus 12 265</t>
  </si>
  <si>
    <t>Y100A 216</t>
  </si>
  <si>
    <t>OnePlus 13 375</t>
  </si>
  <si>
    <t>Mi 14 462</t>
  </si>
  <si>
    <t>iPhone 16 577</t>
  </si>
  <si>
    <t>iPhone 16 979</t>
  </si>
  <si>
    <t>Zero 30 499</t>
  </si>
  <si>
    <t>Poco X6 Pro 519</t>
  </si>
  <si>
    <t>iPhone 16 Pro Max 615</t>
  </si>
  <si>
    <t>Pixel 9 43</t>
  </si>
  <si>
    <t>Pixel 8 485</t>
  </si>
  <si>
    <t>OnePlus 13R 588</t>
  </si>
  <si>
    <t>OnePlus 12 438</t>
  </si>
  <si>
    <t>Nord 4 586</t>
  </si>
  <si>
    <t>Y200 101</t>
  </si>
  <si>
    <t>iPhone 16 Pro 165</t>
  </si>
  <si>
    <t>GT 7 Pro 382</t>
  </si>
  <si>
    <t>Pixel 9 743</t>
  </si>
  <si>
    <t>iPhone 14 154</t>
  </si>
  <si>
    <t>X100 Pro 300</t>
  </si>
  <si>
    <t>Poco F6 162</t>
  </si>
  <si>
    <t>GT 20 Pro 284</t>
  </si>
  <si>
    <t>Mi 14 110</t>
  </si>
  <si>
    <t>A98 278</t>
  </si>
  <si>
    <t>Reno 11 742</t>
  </si>
  <si>
    <t>iPhone 14 712</t>
  </si>
  <si>
    <t>iPhone 16 Pro Max 193</t>
  </si>
  <si>
    <t>Pixel 9 Pro 817</t>
  </si>
  <si>
    <t>Note 40 Pro 819</t>
  </si>
  <si>
    <t>Galaxy A75 379</t>
  </si>
  <si>
    <t>Galaxy S24 855</t>
  </si>
  <si>
    <t>A98 424</t>
  </si>
  <si>
    <t>Note 40 Pro 336</t>
  </si>
  <si>
    <t>iPhone 14 869</t>
  </si>
  <si>
    <t>F27 Pro 908</t>
  </si>
  <si>
    <t>A98 167</t>
  </si>
  <si>
    <t>iPhone 16 Pro 672</t>
  </si>
  <si>
    <t>iPhone 16 Pro Max 359</t>
  </si>
  <si>
    <t>Pixel Fold 2 971</t>
  </si>
  <si>
    <t>Galaxy A75 466</t>
  </si>
  <si>
    <t>Mi 13 Ultra 59</t>
  </si>
  <si>
    <t>Galaxy Z Fold6 192</t>
  </si>
  <si>
    <t>GT 7 Pro 842</t>
  </si>
  <si>
    <t>Reno 11 625</t>
  </si>
  <si>
    <t>Smart 8 689</t>
  </si>
  <si>
    <t>Galaxy A75 639</t>
  </si>
  <si>
    <t>Nord CE 4 Lite 376</t>
  </si>
  <si>
    <t>C65 586</t>
  </si>
  <si>
    <t>iPhone 15 293</t>
  </si>
  <si>
    <t>Pixel Fold 2 309</t>
  </si>
  <si>
    <t>Galaxy S24 Ultra 180</t>
  </si>
  <si>
    <t>Poco F6 247</t>
  </si>
  <si>
    <t>GT 20 Pro 828</t>
  </si>
  <si>
    <t>Galaxy S24 669</t>
  </si>
  <si>
    <t>Poco X6 Pro 637</t>
  </si>
  <si>
    <t>GT 7 Pro 425</t>
  </si>
  <si>
    <t>Mi 14 497</t>
  </si>
  <si>
    <t>Smart 8 258</t>
  </si>
  <si>
    <t>11 Pro+ 644</t>
  </si>
  <si>
    <t>Galaxy S24 Ultra 76</t>
  </si>
  <si>
    <t>Y200 471</t>
  </si>
  <si>
    <t>Smart 8 618</t>
  </si>
  <si>
    <t>V30 96</t>
  </si>
  <si>
    <t>Reno 12 973</t>
  </si>
  <si>
    <t>Galaxy Z Fold6 229</t>
  </si>
  <si>
    <t>Note 40 Pro 885</t>
  </si>
  <si>
    <t>C65 759</t>
  </si>
  <si>
    <t>Mi 14 16</t>
  </si>
  <si>
    <t>Y200 464</t>
  </si>
  <si>
    <t>OnePlus 13 343</t>
  </si>
  <si>
    <t>Find X7 350</t>
  </si>
  <si>
    <t>X100 Pro 740</t>
  </si>
  <si>
    <t>C65 454</t>
  </si>
  <si>
    <t>iPhone 16 Pro Max 22</t>
  </si>
  <si>
    <t>Narzo 70 810</t>
  </si>
  <si>
    <t>OnePlus 12 574</t>
  </si>
  <si>
    <t>Poco F6 477</t>
  </si>
  <si>
    <t>Reno 11 184</t>
  </si>
  <si>
    <t>C65 591</t>
  </si>
  <si>
    <t>Redmi Note 14 Pro 742</t>
  </si>
  <si>
    <t>GT 7 Pro 298</t>
  </si>
  <si>
    <t>iPhone 16 645</t>
  </si>
  <si>
    <t>OnePlus 13R 806</t>
  </si>
  <si>
    <t>Pixel 9 Pro 196</t>
  </si>
  <si>
    <t>F27 Pro 390</t>
  </si>
  <si>
    <t>Mi 13 Ultra 258</t>
  </si>
  <si>
    <t>Reno 12 224</t>
  </si>
  <si>
    <t>Y100A 826</t>
  </si>
  <si>
    <t>Mi 13 Ultra 167</t>
  </si>
  <si>
    <t>Y200 759</t>
  </si>
  <si>
    <t>F27 Pro 331</t>
  </si>
  <si>
    <t>Zero 30 277</t>
  </si>
  <si>
    <t>Smart 8 695</t>
  </si>
  <si>
    <t>Y200 613</t>
  </si>
  <si>
    <t>iPhone 14 495</t>
  </si>
  <si>
    <t>Nord CE 4 Lite 361</t>
  </si>
  <si>
    <t>Pixel Fold 2 99</t>
  </si>
  <si>
    <t>iPhone 16 Pro Max 779</t>
  </si>
  <si>
    <t>GT 7 Pro 131</t>
  </si>
  <si>
    <t>Nord 4 281</t>
  </si>
  <si>
    <t>Galaxy A75 15</t>
  </si>
  <si>
    <t>Nord 4 618</t>
  </si>
  <si>
    <t>OnePlus 13 603</t>
  </si>
  <si>
    <t>OnePlus 12 703</t>
  </si>
  <si>
    <t>iPhone 16 Pro 711</t>
  </si>
  <si>
    <t>Reno 11 414</t>
  </si>
  <si>
    <t>Y100A 67</t>
  </si>
  <si>
    <t>OnePlus 12 776</t>
  </si>
  <si>
    <t>Galaxy A75 480</t>
  </si>
  <si>
    <t>F27 Pro 826</t>
  </si>
  <si>
    <t>OnePlus 12 529</t>
  </si>
  <si>
    <t>OnePlus 13 308</t>
  </si>
  <si>
    <t>Hot 40 38</t>
  </si>
  <si>
    <t>Y200 702</t>
  </si>
  <si>
    <t>F27 Pro 604</t>
  </si>
  <si>
    <t>V30 9</t>
  </si>
  <si>
    <t>iPhone 16 Pro 566</t>
  </si>
  <si>
    <t>X100 Pro 12</t>
  </si>
  <si>
    <t>A98 429</t>
  </si>
  <si>
    <t>Galaxy Z Fold6 549</t>
  </si>
  <si>
    <t>GT 20 Pro 521</t>
  </si>
  <si>
    <t>GT 7 Pro 710</t>
  </si>
  <si>
    <t>iPhone 16 Pro Max 361</t>
  </si>
  <si>
    <t>Galaxy M55 865</t>
  </si>
  <si>
    <t>X100 Pro 415</t>
  </si>
  <si>
    <t>F27 Pro 263</t>
  </si>
  <si>
    <t>Find X7 246</t>
  </si>
  <si>
    <t>OnePlus 12 448</t>
  </si>
  <si>
    <t>Poco F6 439</t>
  </si>
  <si>
    <t>Nord CE 4 Lite 51</t>
  </si>
  <si>
    <t>iPhone 15 146</t>
  </si>
  <si>
    <t>Poco X6 Pro 588</t>
  </si>
  <si>
    <t>Reno 11 490</t>
  </si>
  <si>
    <t>Galaxy S24 777</t>
  </si>
  <si>
    <t>Pixel 8 809</t>
  </si>
  <si>
    <t>Note 40 Pro 443</t>
  </si>
  <si>
    <t>Pixel 9 277</t>
  </si>
  <si>
    <t>Mi 13 Ultra 366</t>
  </si>
  <si>
    <t>Note 40 Pro 36</t>
  </si>
  <si>
    <t>Poco F6 487</t>
  </si>
  <si>
    <t>V29e 767</t>
  </si>
  <si>
    <t>X100 Pro 585</t>
  </si>
  <si>
    <t>Galaxy S24 903</t>
  </si>
  <si>
    <t>Nord CE 4 Lite 241</t>
  </si>
  <si>
    <t>Y100A 175</t>
  </si>
  <si>
    <t>Mi 14 434</t>
  </si>
  <si>
    <t>OnePlus 13 584</t>
  </si>
  <si>
    <t>F27 Pro 456</t>
  </si>
  <si>
    <t>X100 Pro 954</t>
  </si>
  <si>
    <t>Galaxy M55 748</t>
  </si>
  <si>
    <t>OnePlus 12 706</t>
  </si>
  <si>
    <t>Poco X6 Pro 270</t>
  </si>
  <si>
    <t>Zero 30 97</t>
  </si>
  <si>
    <t>Mi 13 Ultra 51</t>
  </si>
  <si>
    <t>GT 20 Pro 773</t>
  </si>
  <si>
    <t>Reno 11 35</t>
  </si>
  <si>
    <t>Narzo 70 534</t>
  </si>
  <si>
    <t>Nord 4 900</t>
  </si>
  <si>
    <t>iPhone 16 293</t>
  </si>
  <si>
    <t>Pixel 7a 89</t>
  </si>
  <si>
    <t>OnePlus 12 988</t>
  </si>
  <si>
    <t>Nord CE 4 Lite 757</t>
  </si>
  <si>
    <t>GT 7 Pro 733</t>
  </si>
  <si>
    <t>Galaxy M55 67</t>
  </si>
  <si>
    <t>iPhone 16 Pro Max 945</t>
  </si>
  <si>
    <t>Mi 14 326</t>
  </si>
  <si>
    <t>OnePlus 13 675</t>
  </si>
  <si>
    <t>Pixel Fold 2 705</t>
  </si>
  <si>
    <t>Narzo 70 451</t>
  </si>
  <si>
    <t>Galaxy M55 614</t>
  </si>
  <si>
    <t>Reno 11 416</t>
  </si>
  <si>
    <t>Poco X6 Pro 229</t>
  </si>
  <si>
    <t>Pixel 7a 421</t>
  </si>
  <si>
    <t>Galaxy Z Fold6 472</t>
  </si>
  <si>
    <t>Poco X6 Pro 613</t>
  </si>
  <si>
    <t>Mi 13 Ultra 891</t>
  </si>
  <si>
    <t>Galaxy Z Fold6 554</t>
  </si>
  <si>
    <t>OnePlus 12 820</t>
  </si>
  <si>
    <t>GT 7 Pro 342</t>
  </si>
  <si>
    <t>iPhone 16 Pro 679</t>
  </si>
  <si>
    <t>iPhone 16 660</t>
  </si>
  <si>
    <t>Nord 4 14</t>
  </si>
  <si>
    <t>Pixel 8 659</t>
  </si>
  <si>
    <t>Pixel 7a 407</t>
  </si>
  <si>
    <t>V30 278</t>
  </si>
  <si>
    <t>Nord CE 4 Lite 220</t>
  </si>
  <si>
    <t>Galaxy S24 Ultra 298</t>
  </si>
  <si>
    <t>iPhone 16 Pro 875</t>
  </si>
  <si>
    <t>iPhone 16 897</t>
  </si>
  <si>
    <t>iPhone 15 776</t>
  </si>
  <si>
    <t>A98 242</t>
  </si>
  <si>
    <t>F27 Pro 537</t>
  </si>
  <si>
    <t>Hot 40 177</t>
  </si>
  <si>
    <t>Y200 221</t>
  </si>
  <si>
    <t>C65 705</t>
  </si>
  <si>
    <t>V29e 705</t>
  </si>
  <si>
    <t>Reno 11 52</t>
  </si>
  <si>
    <t>Note 40 Pro 787</t>
  </si>
  <si>
    <t>Nord 4 508</t>
  </si>
  <si>
    <t>Galaxy S24 Ultra 700</t>
  </si>
  <si>
    <t>C65 212</t>
  </si>
  <si>
    <t>iPhone 16 Pro Max 955</t>
  </si>
  <si>
    <t>GT 20 Pro 71</t>
  </si>
  <si>
    <t>Pixel 8 185</t>
  </si>
  <si>
    <t>Galaxy M55 851</t>
  </si>
  <si>
    <t>Zero 30 344</t>
  </si>
  <si>
    <t>Pixel 9 694</t>
  </si>
  <si>
    <t>iPhone 16 Pro 141</t>
  </si>
  <si>
    <t>Reno 12 249</t>
  </si>
  <si>
    <t>Y100A 168</t>
  </si>
  <si>
    <t>11 Pro+ 967</t>
  </si>
  <si>
    <t>OnePlus 13 206</t>
  </si>
  <si>
    <t>iPhone 16 Pro Max 988</t>
  </si>
  <si>
    <t>iPhone 16 Pro 236</t>
  </si>
  <si>
    <t>Pixel 9 Pro 43</t>
  </si>
  <si>
    <t>Zero 30 410</t>
  </si>
  <si>
    <t>V30 209</t>
  </si>
  <si>
    <t>Pixel 9 122</t>
  </si>
  <si>
    <t>Find X7 302</t>
  </si>
  <si>
    <t>Galaxy S24 576</t>
  </si>
  <si>
    <t>V29e 700</t>
  </si>
  <si>
    <t>A98 506</t>
  </si>
  <si>
    <t>iPhone 14 314</t>
  </si>
  <si>
    <t>Galaxy M55 965</t>
  </si>
  <si>
    <t>Galaxy M55 303</t>
  </si>
  <si>
    <t>Y100A 587</t>
  </si>
  <si>
    <t>Find X7 464</t>
  </si>
  <si>
    <t>GT 7 Pro 556</t>
  </si>
  <si>
    <t>V30 541</t>
  </si>
  <si>
    <t>Pixel 9 Pro 669</t>
  </si>
  <si>
    <t>V30 861</t>
  </si>
  <si>
    <t>V29e 581</t>
  </si>
  <si>
    <t>C65 479</t>
  </si>
  <si>
    <t>Find X7 736</t>
  </si>
  <si>
    <t>Galaxy M55 229</t>
  </si>
  <si>
    <t>Redmi Note 14 Pro 199</t>
  </si>
  <si>
    <t>iPhone 16 Pro Max 629</t>
  </si>
  <si>
    <t>Pixel 9 64</t>
  </si>
  <si>
    <t>Mi 13 Ultra 791</t>
  </si>
  <si>
    <t>V30 770</t>
  </si>
  <si>
    <t>X100 Pro 997</t>
  </si>
  <si>
    <t>iPhone 16 Pro 656</t>
  </si>
  <si>
    <t>Poco X6 Pro 195</t>
  </si>
  <si>
    <t>Nord CE 4 Lite 860</t>
  </si>
  <si>
    <t>Note 40 Pro 964</t>
  </si>
  <si>
    <t>Reno 11 869</t>
  </si>
  <si>
    <t>Y100A 261</t>
  </si>
  <si>
    <t>Y100A 136</t>
  </si>
  <si>
    <t>Poco X6 Pro 816</t>
  </si>
  <si>
    <t>Smart 8 932</t>
  </si>
  <si>
    <t>Narzo 70 153</t>
  </si>
  <si>
    <t>OnePlus 13R 130</t>
  </si>
  <si>
    <t>Pixel Fold 2 282</t>
  </si>
  <si>
    <t>Mi 13 Ultra 150</t>
  </si>
  <si>
    <t>Mi 14 649</t>
  </si>
  <si>
    <t>Hot 40 763</t>
  </si>
  <si>
    <t>GT 20 Pro 845</t>
  </si>
  <si>
    <t>X100 Pro 343</t>
  </si>
  <si>
    <t>Y200 500</t>
  </si>
  <si>
    <t>Pixel Fold 2 444</t>
  </si>
  <si>
    <t>Y100A 418</t>
  </si>
  <si>
    <t>Smart 8 968</t>
  </si>
  <si>
    <t>Nord 4 567</t>
  </si>
  <si>
    <t>Redmi Note 14 Pro 348</t>
  </si>
  <si>
    <t>Mi 14 928</t>
  </si>
  <si>
    <t>Galaxy Z Fold6 52</t>
  </si>
  <si>
    <t>Pixel 7a 315</t>
  </si>
  <si>
    <t>V29e 376</t>
  </si>
  <si>
    <t>C65 862</t>
  </si>
  <si>
    <t>Galaxy M55 627</t>
  </si>
  <si>
    <t>A98 793</t>
  </si>
  <si>
    <t>OnePlus 13R 126</t>
  </si>
  <si>
    <t>Smart 8 143</t>
  </si>
  <si>
    <t>V29e 398</t>
  </si>
  <si>
    <t>Y100A 322</t>
  </si>
  <si>
    <t>GT 20 Pro 916</t>
  </si>
  <si>
    <t>OnePlus 12 850</t>
  </si>
  <si>
    <t>Poco F6 102</t>
  </si>
  <si>
    <t>Y200 926</t>
  </si>
  <si>
    <t>Redmi Note 14 Pro 631</t>
  </si>
  <si>
    <t>Pixel 8 615</t>
  </si>
  <si>
    <t>Pixel Fold 2 32</t>
  </si>
  <si>
    <t>Mi 13 Ultra 927</t>
  </si>
  <si>
    <t>Redmi Note 14 Pro 941</t>
  </si>
  <si>
    <t>A98 33</t>
  </si>
  <si>
    <t>iPhone 15 744</t>
  </si>
  <si>
    <t>iPhone 15 23</t>
  </si>
  <si>
    <t>GT 7 Pro 417</t>
  </si>
  <si>
    <t>Nord CE 4 Lite 559</t>
  </si>
  <si>
    <t>GT 20 Pro 961</t>
  </si>
  <si>
    <t>OnePlus 12 975</t>
  </si>
  <si>
    <t>A98 197</t>
  </si>
  <si>
    <t>F27 Pro 320</t>
  </si>
  <si>
    <t>11 Pro+ 320</t>
  </si>
  <si>
    <t>OnePlus 12 59</t>
  </si>
  <si>
    <t>iPhone 16 207</t>
  </si>
  <si>
    <t>Poco F6 767</t>
  </si>
  <si>
    <t>OnePlus 12 296</t>
  </si>
  <si>
    <t>iPhone 16 388</t>
  </si>
  <si>
    <t>V30 189</t>
  </si>
  <si>
    <t>OnePlus 12 909</t>
  </si>
  <si>
    <t>GT 20 Pro 236</t>
  </si>
  <si>
    <t>OnePlus 13 548</t>
  </si>
  <si>
    <t>Reno 12 284</t>
  </si>
  <si>
    <t>Galaxy Z Fold6 335</t>
  </si>
  <si>
    <t>A98 334</t>
  </si>
  <si>
    <t>Mi 13 Ultra 539</t>
  </si>
  <si>
    <t>OnePlus 12 611</t>
  </si>
  <si>
    <t>GT 20 Pro 983</t>
  </si>
  <si>
    <t>Pixel 9 654</t>
  </si>
  <si>
    <t>Y200 695</t>
  </si>
  <si>
    <t>Reno 11 16</t>
  </si>
  <si>
    <t>Mi 13 Ultra 967</t>
  </si>
  <si>
    <t>GT 7 Pro 938</t>
  </si>
  <si>
    <t>Pixel 9 Pro 47</t>
  </si>
  <si>
    <t>A98 898</t>
  </si>
  <si>
    <t>Galaxy M55 821</t>
  </si>
  <si>
    <t>V30 973</t>
  </si>
  <si>
    <t>Nord 4 275</t>
  </si>
  <si>
    <t>iPhone 16 Pro 7</t>
  </si>
  <si>
    <t>GT 20 Pro 161</t>
  </si>
  <si>
    <t>Galaxy S24 820</t>
  </si>
  <si>
    <t>Galaxy M55 841</t>
  </si>
  <si>
    <t>Galaxy Z Fold6 173</t>
  </si>
  <si>
    <t>A98 582</t>
  </si>
  <si>
    <t>Mi 13 Ultra 126</t>
  </si>
  <si>
    <t>Zero 30 847</t>
  </si>
  <si>
    <t>V29e 888</t>
  </si>
  <si>
    <t>Galaxy S24 Ultra 974</t>
  </si>
  <si>
    <t>GT 20 Pro 896</t>
  </si>
  <si>
    <t>Zero 30 436</t>
  </si>
  <si>
    <t>iPhone 16 826</t>
  </si>
  <si>
    <t>Narzo 70 772</t>
  </si>
  <si>
    <t>Find X7 753</t>
  </si>
  <si>
    <t>Pixel 9 Pro 537</t>
  </si>
  <si>
    <t>V29e 816</t>
  </si>
  <si>
    <t>Reno 12 293</t>
  </si>
  <si>
    <t>GT Neo 6 43</t>
  </si>
  <si>
    <t>iPhone 16 Pro 887</t>
  </si>
  <si>
    <t>Mi 14 617</t>
  </si>
  <si>
    <t>X100 Pro 935</t>
  </si>
  <si>
    <t>Y200 311</t>
  </si>
  <si>
    <t>iPhone 16 Pro Max 228</t>
  </si>
  <si>
    <t>Galaxy M55 741</t>
  </si>
  <si>
    <t>Galaxy Z Fold6 711</t>
  </si>
  <si>
    <t>Pixel 8 418</t>
  </si>
  <si>
    <t>OnePlus 13 841</t>
  </si>
  <si>
    <t>Hot 40 120</t>
  </si>
  <si>
    <t>iPhone 14 358</t>
  </si>
  <si>
    <t>11 Pro+ 590</t>
  </si>
  <si>
    <t>Y100A 23</t>
  </si>
  <si>
    <t>V30 78</t>
  </si>
  <si>
    <t>Galaxy S24 554</t>
  </si>
  <si>
    <t>C65 518</t>
  </si>
  <si>
    <t>Nord CE 4 Lite 98</t>
  </si>
  <si>
    <t>Pixel 7a 684</t>
  </si>
  <si>
    <t>iPhone 14 585</t>
  </si>
  <si>
    <t>Mi 14 308</t>
  </si>
  <si>
    <t>Pixel Fold 2 357</t>
  </si>
  <si>
    <t>Note 40 Pro 173</t>
  </si>
  <si>
    <t>Pixel 9 125</t>
  </si>
  <si>
    <t>Pixel 9 Pro 793</t>
  </si>
  <si>
    <t>GT Neo 6 840</t>
  </si>
  <si>
    <t>Poco F6 298</t>
  </si>
  <si>
    <t>Galaxy A75 456</t>
  </si>
  <si>
    <t>OnePlus 12 505</t>
  </si>
  <si>
    <t>Narzo 70 166</t>
  </si>
  <si>
    <t>Y100A 296</t>
  </si>
  <si>
    <t>Pixel 8 114</t>
  </si>
  <si>
    <t>V29e 794</t>
  </si>
  <si>
    <t>C65 744</t>
  </si>
  <si>
    <t>A98 681</t>
  </si>
  <si>
    <t>GT 20 Pro 156</t>
  </si>
  <si>
    <t>Zero 30 598</t>
  </si>
  <si>
    <t>X100 Pro 598</t>
  </si>
  <si>
    <t>Galaxy A75 923</t>
  </si>
  <si>
    <t>11 Pro+ 753</t>
  </si>
  <si>
    <t>Note 40 Pro 754</t>
  </si>
  <si>
    <t>Pixel 8 153</t>
  </si>
  <si>
    <t>iPhone 14 545</t>
  </si>
  <si>
    <t>Pixel 8 349</t>
  </si>
  <si>
    <t>Pixel 7a 566</t>
  </si>
  <si>
    <t>GT 7 Pro 653</t>
  </si>
  <si>
    <t>Pixel Fold 2 280</t>
  </si>
  <si>
    <t>Galaxy Z Fold6 943</t>
  </si>
  <si>
    <t>Galaxy A75 349</t>
  </si>
  <si>
    <t>OnePlus 12 388</t>
  </si>
  <si>
    <t>OnePlus 12 33</t>
  </si>
  <si>
    <t>X100 Pro 228</t>
  </si>
  <si>
    <t>C65 668</t>
  </si>
  <si>
    <t>Pixel 7a 237</t>
  </si>
  <si>
    <t>GT 7 Pro 9</t>
  </si>
  <si>
    <t>iPhone 16 Pro Max 449</t>
  </si>
  <si>
    <t>V29e 185</t>
  </si>
  <si>
    <t>Redmi Note 14 Pro 931</t>
  </si>
  <si>
    <t>Y100A 461</t>
  </si>
  <si>
    <t>X100 Pro 34</t>
  </si>
  <si>
    <t>Pixel 7a 892</t>
  </si>
  <si>
    <t>GT 7 Pro 979</t>
  </si>
  <si>
    <t>Reno 11 294</t>
  </si>
  <si>
    <t>Nord CE 4 Lite 708</t>
  </si>
  <si>
    <t>Galaxy M55 902</t>
  </si>
  <si>
    <t>iPhone 15 98</t>
  </si>
  <si>
    <t>Pixel 9 Pro 616</t>
  </si>
  <si>
    <t>Reno 12 303</t>
  </si>
  <si>
    <t>OnePlus 13R 331</t>
  </si>
  <si>
    <t>iPhone 16 Pro Max 355</t>
  </si>
  <si>
    <t>Mi 14 105</t>
  </si>
  <si>
    <t>Pixel 9 Pro 475</t>
  </si>
  <si>
    <t>Galaxy M55 365</t>
  </si>
  <si>
    <t>Hot 40 779</t>
  </si>
  <si>
    <t>11 Pro+ 210</t>
  </si>
  <si>
    <t>GT Neo 6 365</t>
  </si>
  <si>
    <t>Poco X6 Pro 913</t>
  </si>
  <si>
    <t>Pixel 8 951</t>
  </si>
  <si>
    <t>F27 Pro 149</t>
  </si>
  <si>
    <t>Galaxy S24 Ultra 657</t>
  </si>
  <si>
    <t>OnePlus 12 258</t>
  </si>
  <si>
    <t>X100 Pro 548</t>
  </si>
  <si>
    <t>OnePlus 13 88</t>
  </si>
  <si>
    <t>Galaxy M55 856</t>
  </si>
  <si>
    <t>11 Pro+ 935</t>
  </si>
  <si>
    <t>Pixel 8 180</t>
  </si>
  <si>
    <t>Pixel 7a 380</t>
  </si>
  <si>
    <t>Mi 14 542</t>
  </si>
  <si>
    <t>iPhone 16 Pro 518</t>
  </si>
  <si>
    <t>OnePlus 12 687</t>
  </si>
  <si>
    <t>Narzo 70 742</t>
  </si>
  <si>
    <t>iPhone 14 583</t>
  </si>
  <si>
    <t>V30 561</t>
  </si>
  <si>
    <t>Reno 11 621</t>
  </si>
  <si>
    <t>iPhone 16 Pro Max 419</t>
  </si>
  <si>
    <t>Find X7 856</t>
  </si>
  <si>
    <t>GT 7 Pro 5</t>
  </si>
  <si>
    <t>GT Neo 6 297</t>
  </si>
  <si>
    <t>iPhone 16 384</t>
  </si>
  <si>
    <t>Find X7 82</t>
  </si>
  <si>
    <t>Reno 11 68</t>
  </si>
  <si>
    <t>Poco X6 Pro 676</t>
  </si>
  <si>
    <t>A98 926</t>
  </si>
  <si>
    <t>OnePlus 13 863</t>
  </si>
  <si>
    <t>Pixel 9 Pro 314</t>
  </si>
  <si>
    <t>Pixel 7a 786</t>
  </si>
  <si>
    <t>Reno 12 328</t>
  </si>
  <si>
    <t>F27 Pro 521</t>
  </si>
  <si>
    <t>Galaxy A75 29</t>
  </si>
  <si>
    <t>iPhone 16 Pro 166</t>
  </si>
  <si>
    <t>OnePlus 13R 774</t>
  </si>
  <si>
    <t>Find X7 463</t>
  </si>
  <si>
    <t>GT 20 Pro 122</t>
  </si>
  <si>
    <t>Pixel 9 Pro 740</t>
  </si>
  <si>
    <t>Hot 40 445</t>
  </si>
  <si>
    <t>iPhone 15 723</t>
  </si>
  <si>
    <t>Pixel 8 580</t>
  </si>
  <si>
    <t>Galaxy Z Fold6 603</t>
  </si>
  <si>
    <t>Redmi Note 14 Pro 171</t>
  </si>
  <si>
    <t>Galaxy A75 281</t>
  </si>
  <si>
    <t>Smart 8 912</t>
  </si>
  <si>
    <t>Mi 13 Ultra 916</t>
  </si>
  <si>
    <t>Find X7 378</t>
  </si>
  <si>
    <t>Poco X6 Pro 955</t>
  </si>
  <si>
    <t>Pixel 7a 59</t>
  </si>
  <si>
    <t>Reno 11 550</t>
  </si>
  <si>
    <t>Find X7 500</t>
  </si>
  <si>
    <t>GT 20 Pro 113</t>
  </si>
  <si>
    <t>Galaxy S24 Ultra 69</t>
  </si>
  <si>
    <t>Reno 12 352</t>
  </si>
  <si>
    <t>Galaxy M55 301</t>
  </si>
  <si>
    <t>X100 Pro 684</t>
  </si>
  <si>
    <t>X100 Pro 76</t>
  </si>
  <si>
    <t>Pixel 9 671</t>
  </si>
  <si>
    <t>iPhone 16 Pro Max 117</t>
  </si>
  <si>
    <t>Find X7 240</t>
  </si>
  <si>
    <t>Pixel 8 16</t>
  </si>
  <si>
    <t>GT 20 Pro 695</t>
  </si>
  <si>
    <t>iPhone 16 Pro Max 11</t>
  </si>
  <si>
    <t>iPhone 16 Pro Max 409</t>
  </si>
  <si>
    <t>Nord 4 500</t>
  </si>
  <si>
    <t>F27 Pro 139</t>
  </si>
  <si>
    <t>Note 40 Pro 876</t>
  </si>
  <si>
    <t>X100 Pro 55</t>
  </si>
  <si>
    <t>iPhone 16 27</t>
  </si>
  <si>
    <t>C65 269</t>
  </si>
  <si>
    <t>OnePlus 13 578</t>
  </si>
  <si>
    <t>GT 20 Pro 749</t>
  </si>
  <si>
    <t>V29e 936</t>
  </si>
  <si>
    <t>Pixel 7a 526</t>
  </si>
  <si>
    <t>Pixel 9 Pro 117</t>
  </si>
  <si>
    <t>OnePlus 13R 542</t>
  </si>
  <si>
    <t>Nord CE 4 Lite 541</t>
  </si>
  <si>
    <t>iPhone 16 Pro 894</t>
  </si>
  <si>
    <t>Y100A 981</t>
  </si>
  <si>
    <t>F27 Pro 171</t>
  </si>
  <si>
    <t>Reno 11 954</t>
  </si>
  <si>
    <t>Mi 14 154</t>
  </si>
  <si>
    <t>Y100A 298</t>
  </si>
  <si>
    <t>Pixel 9 187</t>
  </si>
  <si>
    <t>F27 Pro 169</t>
  </si>
  <si>
    <t>GT 20 Pro 47</t>
  </si>
  <si>
    <t>Nord CE 4 Lite 619</t>
  </si>
  <si>
    <t>Note 40 Pro 692</t>
  </si>
  <si>
    <t>Reno 12 386</t>
  </si>
  <si>
    <t>Mi 13 Ultra 367</t>
  </si>
  <si>
    <t>X100 Pro 903</t>
  </si>
  <si>
    <t>Galaxy S24 630</t>
  </si>
  <si>
    <t>Galaxy A75 442</t>
  </si>
  <si>
    <t>OnePlus 13 132</t>
  </si>
  <si>
    <t>Pixel 9 917</t>
  </si>
  <si>
    <t>GT 7 Pro 870</t>
  </si>
  <si>
    <t>F27 Pro 789</t>
  </si>
  <si>
    <t>Mi 14 209</t>
  </si>
  <si>
    <t>Zero 30 763</t>
  </si>
  <si>
    <t>Pixel 9 348</t>
  </si>
  <si>
    <t>11 Pro+ 904</t>
  </si>
  <si>
    <t>Pixel Fold 2 954</t>
  </si>
  <si>
    <t>Galaxy M55 840</t>
  </si>
  <si>
    <t>V29e 522</t>
  </si>
  <si>
    <t>iPhone 16 612</t>
  </si>
  <si>
    <t>Mi 13 Ultra 5</t>
  </si>
  <si>
    <t>Pixel 8 989</t>
  </si>
  <si>
    <t>Narzo 70 716</t>
  </si>
  <si>
    <t>V29e 40</t>
  </si>
  <si>
    <t>Mi 13 Ultra 839</t>
  </si>
  <si>
    <t>iPhone 15 620</t>
  </si>
  <si>
    <t>Pixel 7a 498</t>
  </si>
  <si>
    <t>GT Neo 6 821</t>
  </si>
  <si>
    <t>Pixel 9 21</t>
  </si>
  <si>
    <t>GT Neo 6 449</t>
  </si>
  <si>
    <t>iPhone 16 Pro 89</t>
  </si>
  <si>
    <t>Galaxy S24 Ultra 469</t>
  </si>
  <si>
    <t>Mi 14 62</t>
  </si>
  <si>
    <t>V30 87</t>
  </si>
  <si>
    <t>GT 7 Pro 522</t>
  </si>
  <si>
    <t>iPhone 15 752</t>
  </si>
  <si>
    <t>Nord 4 794</t>
  </si>
  <si>
    <t>Nord CE 4 Lite 147</t>
  </si>
  <si>
    <t>Y200 244</t>
  </si>
  <si>
    <t>iPhone 16 Pro 231</t>
  </si>
  <si>
    <t>Narzo 70 406</t>
  </si>
  <si>
    <t>Galaxy S24 Ultra 403</t>
  </si>
  <si>
    <t>V30 731</t>
  </si>
  <si>
    <t>iPhone 16 Pro 238</t>
  </si>
  <si>
    <t>Redmi Note 14 Pro 811</t>
  </si>
  <si>
    <t>Nord CE 4 Lite 608</t>
  </si>
  <si>
    <t>GT 20 Pro 529</t>
  </si>
  <si>
    <t>X100 Pro 537</t>
  </si>
  <si>
    <t>Galaxy S24 216</t>
  </si>
  <si>
    <t>Galaxy Z Fold6 168</t>
  </si>
  <si>
    <t>F27 Pro 502</t>
  </si>
  <si>
    <t>Poco X6 Pro 224</t>
  </si>
  <si>
    <t>X100 Pro 84</t>
  </si>
  <si>
    <t>Reno 11 674</t>
  </si>
  <si>
    <t>Galaxy Z Fold6 921</t>
  </si>
  <si>
    <t>11 Pro+ 103</t>
  </si>
  <si>
    <t>Zero 30 566</t>
  </si>
  <si>
    <t>Smart 8 259</t>
  </si>
  <si>
    <t>iPhone 15 867</t>
  </si>
  <si>
    <t>Narzo 70 169</t>
  </si>
  <si>
    <t>Pixel 9 Pro 649</t>
  </si>
  <si>
    <t>iPhone 16 982</t>
  </si>
  <si>
    <t>Galaxy S24 591</t>
  </si>
  <si>
    <t>V29e 415</t>
  </si>
  <si>
    <t>Zero 30 194</t>
  </si>
  <si>
    <t>Mi 13 Ultra 708</t>
  </si>
  <si>
    <t>iPhone 16 Pro 772</t>
  </si>
  <si>
    <t>iPhone 16 Pro Max 598</t>
  </si>
  <si>
    <t>GT Neo 6 201</t>
  </si>
  <si>
    <t>C65 162</t>
  </si>
  <si>
    <t>OnePlus 13R 705</t>
  </si>
  <si>
    <t>iPhone 14 91</t>
  </si>
  <si>
    <t>iPhone 16 Pro Max 497</t>
  </si>
  <si>
    <t>Pixel 8 701</t>
  </si>
  <si>
    <t>Reno 12 799</t>
  </si>
  <si>
    <t>Zero 30 767</t>
  </si>
  <si>
    <t>Nord 4 84</t>
  </si>
  <si>
    <t>Mi 14 694</t>
  </si>
  <si>
    <t>Pixel Fold 2 89</t>
  </si>
  <si>
    <t>GT 20 Pro 69</t>
  </si>
  <si>
    <t>Pixel 7a 545</t>
  </si>
  <si>
    <t>GT 20 Pro 989</t>
  </si>
  <si>
    <t>Galaxy A75 375</t>
  </si>
  <si>
    <t>iPhone 14 47</t>
  </si>
  <si>
    <t>iPhone 16 Pro Max 954</t>
  </si>
  <si>
    <t>GT Neo 6 155</t>
  </si>
  <si>
    <t>C65 457</t>
  </si>
  <si>
    <t>Reno 11 997</t>
  </si>
  <si>
    <t>iPhone 16 Pro Max 871</t>
  </si>
  <si>
    <t>Y200 250</t>
  </si>
  <si>
    <t>X100 Pro 645</t>
  </si>
  <si>
    <t>iPhone 16 Pro Max 541</t>
  </si>
  <si>
    <t>V30 574</t>
  </si>
  <si>
    <t>Pixel 7a 626</t>
  </si>
  <si>
    <t>OnePlus 13 360</t>
  </si>
  <si>
    <t>Note 40 Pro 290</t>
  </si>
  <si>
    <t>Galaxy Z Fold6 150</t>
  </si>
  <si>
    <t>iPhone 16 Pro Max 814</t>
  </si>
  <si>
    <t>Pixel 9 275</t>
  </si>
  <si>
    <t>X100 Pro 612</t>
  </si>
  <si>
    <t>Pixel 9 345</t>
  </si>
  <si>
    <t>Galaxy Z Fold6 288</t>
  </si>
  <si>
    <t>OnePlus 12 398</t>
  </si>
  <si>
    <t>Pixel 9 860</t>
  </si>
  <si>
    <t>Galaxy Z Fold6 135</t>
  </si>
  <si>
    <t>Poco X6 Pro 110</t>
  </si>
  <si>
    <t>Narzo 70 537</t>
  </si>
  <si>
    <t>Nord 4 664</t>
  </si>
  <si>
    <t>V30 287</t>
  </si>
  <si>
    <t>V30 125</t>
  </si>
  <si>
    <t>X100 Pro 121</t>
  </si>
  <si>
    <t>Redmi Note 14 Pro 402</t>
  </si>
  <si>
    <t>V30 220</t>
  </si>
  <si>
    <t>Pixel 9 883</t>
  </si>
  <si>
    <t>V29e 885</t>
  </si>
  <si>
    <t>Nord CE 4 Lite 508</t>
  </si>
  <si>
    <t>F27 Pro 79</t>
  </si>
  <si>
    <t>Galaxy M55 323</t>
  </si>
  <si>
    <t>Reno 11 66</t>
  </si>
  <si>
    <t>iPhone 15 479</t>
  </si>
  <si>
    <t>iPhone 16 206</t>
  </si>
  <si>
    <t>OnePlus 13 483</t>
  </si>
  <si>
    <t>Galaxy A75 154</t>
  </si>
  <si>
    <t>iPhone 16 Pro Max 605</t>
  </si>
  <si>
    <t>Nord CE 4 Lite 797</t>
  </si>
  <si>
    <t>Reno 12 645</t>
  </si>
  <si>
    <t>OnePlus 13R 59</t>
  </si>
  <si>
    <t>Mi 13 Ultra 157</t>
  </si>
  <si>
    <t>Mi 14 499</t>
  </si>
  <si>
    <t>Mi 13 Ultra 587</t>
  </si>
  <si>
    <t>OnePlus 12 428</t>
  </si>
  <si>
    <t>OnePlus 13 348</t>
  </si>
  <si>
    <t>Pixel Fold 2 686</t>
  </si>
  <si>
    <t>Galaxy A75 574</t>
  </si>
  <si>
    <t>Reno 12 147</t>
  </si>
  <si>
    <t>Y100A 555</t>
  </si>
  <si>
    <t>iPhone 16 778</t>
  </si>
  <si>
    <t>GT 7 Pro 357</t>
  </si>
  <si>
    <t>Mi 14 983</t>
  </si>
  <si>
    <t>GT 20 Pro 453</t>
  </si>
  <si>
    <t>Nord CE 4 Lite 292</t>
  </si>
  <si>
    <t>OnePlus 13 149</t>
  </si>
  <si>
    <t>Poco X6 Pro 966</t>
  </si>
  <si>
    <t>Note 40 Pro 711</t>
  </si>
  <si>
    <t>Smart 8 800</t>
  </si>
  <si>
    <t>Galaxy Z Fold6 820</t>
  </si>
  <si>
    <t>Nord CE 4 Lite 501</t>
  </si>
  <si>
    <t>Galaxy A75 186</t>
  </si>
  <si>
    <t>Zero 30 125</t>
  </si>
  <si>
    <t>Redmi Note 14 Pro 177</t>
  </si>
  <si>
    <t>Galaxy A75 612</t>
  </si>
  <si>
    <t>C65 725</t>
  </si>
  <si>
    <t>Pixel 9 284</t>
  </si>
  <si>
    <t>iPhone 15 557</t>
  </si>
  <si>
    <t>OnePlus 12 621</t>
  </si>
  <si>
    <t>Poco F6 895</t>
  </si>
  <si>
    <t>Narzo 70 954</t>
  </si>
  <si>
    <t>Smart 8 220</t>
  </si>
  <si>
    <t>Narzo 70 580</t>
  </si>
  <si>
    <t>Pixel 9 Pro 260</t>
  </si>
  <si>
    <t>Mi 13 Ultra 225</t>
  </si>
  <si>
    <t>A98 206</t>
  </si>
  <si>
    <t>iPhone 16 Pro Max 437</t>
  </si>
  <si>
    <t>OnePlus 13 143</t>
  </si>
  <si>
    <t>Narzo 70 23</t>
  </si>
  <si>
    <t>X100 Pro 979</t>
  </si>
  <si>
    <t>V29e 990</t>
  </si>
  <si>
    <t>Reno 12 161</t>
  </si>
  <si>
    <t>iPhone 14 434</t>
  </si>
  <si>
    <t>Pixel Fold 2 987</t>
  </si>
  <si>
    <t>Galaxy Z Fold6 736</t>
  </si>
  <si>
    <t>iPhone 15 551</t>
  </si>
  <si>
    <t>V30 326</t>
  </si>
  <si>
    <t>Pixel 9 256</t>
  </si>
  <si>
    <t>C65 395</t>
  </si>
  <si>
    <t>Zero 30 132</t>
  </si>
  <si>
    <t>OnePlus 13R 328</t>
  </si>
  <si>
    <t>Smart 8 910</t>
  </si>
  <si>
    <t>Poco F6 251</t>
  </si>
  <si>
    <t>Reno 12 692</t>
  </si>
  <si>
    <t>Mi 14 946</t>
  </si>
  <si>
    <t>Find X7 383</t>
  </si>
  <si>
    <t>OnePlus 13 209</t>
  </si>
  <si>
    <t>Narzo 70 415</t>
  </si>
  <si>
    <t>Pixel Fold 2 264</t>
  </si>
  <si>
    <t>Galaxy A75 416</t>
  </si>
  <si>
    <t>Pixel 9 Pro 529</t>
  </si>
  <si>
    <t>OnePlus 13R 119</t>
  </si>
  <si>
    <t>Pixel 7a 437</t>
  </si>
  <si>
    <t>Poco F6 937</t>
  </si>
  <si>
    <t>Galaxy M55 406</t>
  </si>
  <si>
    <t>Nord 4 438</t>
  </si>
  <si>
    <t>Redmi Note 14 Pro 872</t>
  </si>
  <si>
    <t>A98 972</t>
  </si>
  <si>
    <t>GT 20 Pro 727</t>
  </si>
  <si>
    <t>A98 853</t>
  </si>
  <si>
    <t>Smart 8 842</t>
  </si>
  <si>
    <t>Smart 8 808</t>
  </si>
  <si>
    <t>Pixel 7a 323</t>
  </si>
  <si>
    <t>X100 Pro 296</t>
  </si>
  <si>
    <t>Redmi Note 14 Pro 291</t>
  </si>
  <si>
    <t>iPhone 16 Pro 121</t>
  </si>
  <si>
    <t>Reno 12 338</t>
  </si>
  <si>
    <t>Y200 619</t>
  </si>
  <si>
    <t>Galaxy A75 788</t>
  </si>
  <si>
    <t>V29e 299</t>
  </si>
  <si>
    <t>F27 Pro 353</t>
  </si>
  <si>
    <t>GT 20 Pro 782</t>
  </si>
  <si>
    <t>V29e 883</t>
  </si>
  <si>
    <t>Hot 40 460</t>
  </si>
  <si>
    <t>iPhone 14 260</t>
  </si>
  <si>
    <t>Poco X6 Pro 832</t>
  </si>
  <si>
    <t>Find X7 49</t>
  </si>
  <si>
    <t>Nord CE 4 Lite 973</t>
  </si>
  <si>
    <t>Pixel 9 577</t>
  </si>
  <si>
    <t>Galaxy A75 860</t>
  </si>
  <si>
    <t>GT 20 Pro 9</t>
  </si>
  <si>
    <t>Pixel 9 603</t>
  </si>
  <si>
    <t>Nord CE 4 Lite 458</t>
  </si>
  <si>
    <t>X100 Pro 840</t>
  </si>
  <si>
    <t>Note 40 Pro 855</t>
  </si>
  <si>
    <t>OnePlus 12 326</t>
  </si>
  <si>
    <t>Zero 30 376</t>
  </si>
  <si>
    <t>Pixel 8 692</t>
  </si>
  <si>
    <t>Y100A 116</t>
  </si>
  <si>
    <t>Galaxy S24 567</t>
  </si>
  <si>
    <t>OnePlus 13R 465</t>
  </si>
  <si>
    <t>GT 7 Pro 771</t>
  </si>
  <si>
    <t>GT Neo 6 451</t>
  </si>
  <si>
    <t>Galaxy A75 963</t>
  </si>
  <si>
    <t>iPhone 16 Pro 19</t>
  </si>
  <si>
    <t>V29e 165</t>
  </si>
  <si>
    <t>Galaxy S24 981</t>
  </si>
  <si>
    <t>Reno 12 350</t>
  </si>
  <si>
    <t>OnePlus 13R 635</t>
  </si>
  <si>
    <t>Hot 40 838</t>
  </si>
  <si>
    <t>Mi 14 163</t>
  </si>
  <si>
    <t>OnePlus 12 46</t>
  </si>
  <si>
    <t>iPhone 16 Pro 356</t>
  </si>
  <si>
    <t>Pixel 7a 477</t>
  </si>
  <si>
    <t>Galaxy S24 Ultra 883</t>
  </si>
  <si>
    <t>Mi 14 806</t>
  </si>
  <si>
    <t>iPhone 16 Pro 225</t>
  </si>
  <si>
    <t>Reno 12 524</t>
  </si>
  <si>
    <t>Y200 242</t>
  </si>
  <si>
    <t>Narzo 70 24</t>
  </si>
  <si>
    <t>Pixel Fold 2 221</t>
  </si>
  <si>
    <t>A98 49</t>
  </si>
  <si>
    <t>11 Pro+ 950</t>
  </si>
  <si>
    <t>GT 7 Pro 549</t>
  </si>
  <si>
    <t>Pixel 7a 974</t>
  </si>
  <si>
    <t>A98 391</t>
  </si>
  <si>
    <t>Poco X6 Pro 289</t>
  </si>
  <si>
    <t>Pixel 7a 412</t>
  </si>
  <si>
    <t>X100 Pro 880</t>
  </si>
  <si>
    <t>X100 Pro 978</t>
  </si>
  <si>
    <t>Redmi Note 14 Pro 380</t>
  </si>
  <si>
    <t>V30 873</t>
  </si>
  <si>
    <t>11 Pro+ 720</t>
  </si>
  <si>
    <t>Find X7 117</t>
  </si>
  <si>
    <t>Pixel 9 485</t>
  </si>
  <si>
    <t>Poco F6 806</t>
  </si>
  <si>
    <t>F27 Pro 368</t>
  </si>
  <si>
    <t>Nord CE 4 Lite 367</t>
  </si>
  <si>
    <t>Galaxy Z Fold6 193</t>
  </si>
  <si>
    <t>Poco X6 Pro 71</t>
  </si>
  <si>
    <t>Galaxy S24 24</t>
  </si>
  <si>
    <t>X100 Pro 206</t>
  </si>
  <si>
    <t>Hot 40 854</t>
  </si>
  <si>
    <t>11 Pro+ 671</t>
  </si>
  <si>
    <t>Nord CE 4 Lite 296</t>
  </si>
  <si>
    <t>X100 Pro 409</t>
  </si>
  <si>
    <t>Pixel 7a 275</t>
  </si>
  <si>
    <t>iPhone 16 Pro Max 533</t>
  </si>
  <si>
    <t>C65 602</t>
  </si>
  <si>
    <t>iPhone 16 Pro 99</t>
  </si>
  <si>
    <t>X100 Pro 47</t>
  </si>
  <si>
    <t>Poco X6 Pro 526</t>
  </si>
  <si>
    <t>GT Neo 6 598</t>
  </si>
  <si>
    <t>Reno 12 666</t>
  </si>
  <si>
    <t>iPhone 14 59</t>
  </si>
  <si>
    <t>Y200 640</t>
  </si>
  <si>
    <t>V30 843</t>
  </si>
  <si>
    <t>V30 425</t>
  </si>
  <si>
    <t>Mi 13 Ultra 876</t>
  </si>
  <si>
    <t>Zero 30 20</t>
  </si>
  <si>
    <t>A98 649</t>
  </si>
  <si>
    <t>Narzo 70 661</t>
  </si>
  <si>
    <t>Nord 4 530</t>
  </si>
  <si>
    <t>Poco F6 680</t>
  </si>
  <si>
    <t>Pixel 9 523</t>
  </si>
  <si>
    <t>Poco F6 856</t>
  </si>
  <si>
    <t>Smart 8 114</t>
  </si>
  <si>
    <t>Pixel 9 814</t>
  </si>
  <si>
    <t>Y200 568</t>
  </si>
  <si>
    <t>Smart 8 784</t>
  </si>
  <si>
    <t>Pixel 9 228</t>
  </si>
  <si>
    <t>Galaxy S24 Ultra 502</t>
  </si>
  <si>
    <t>OnePlus 13 975</t>
  </si>
  <si>
    <t>Nord 4 277</t>
  </si>
  <si>
    <t>C65 704</t>
  </si>
  <si>
    <t>Pixel Fold 2 610</t>
  </si>
  <si>
    <t>11 Pro+ 634</t>
  </si>
  <si>
    <t>Pixel 8 175</t>
  </si>
  <si>
    <t>Reno 11 777</t>
  </si>
  <si>
    <t>11 Pro+ 927</t>
  </si>
  <si>
    <t>Pixel 7a 2</t>
  </si>
  <si>
    <t>OnePlus 13R 423</t>
  </si>
  <si>
    <t>Poco X6 Pro 796</t>
  </si>
  <si>
    <t>Narzo 70 809</t>
  </si>
  <si>
    <t>Mi 13 Ultra 429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</si>
  <si>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</si>
  <si>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</si>
  <si>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</si>
  <si>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</si>
  <si>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</si>
  <si>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</si>
  <si>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</si>
  <si>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</si>
  <si>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</si>
  <si>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</si>
  <si>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</si>
  <si>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</si>
  <si>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</si>
  <si>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 per Ram</t>
  </si>
  <si>
    <t>Price per MP</t>
  </si>
  <si>
    <t>5G Prices</t>
  </si>
  <si>
    <t>Non-5G Prices</t>
  </si>
  <si>
    <t>t-Test: Two-Sample Assuming Equal Variances</t>
  </si>
  <si>
    <t>Variable 1</t>
  </si>
  <si>
    <t>Variable 2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</si>
  <si>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</si>
  <si>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</si>
  <si>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</si>
  <si>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</si>
  <si>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</si>
  <si>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</si>
  <si>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</si>
  <si>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</si>
  <si>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</si>
  <si>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</si>
  <si>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less than 0.05, the price difference is statistically Significant(not just luck)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</si>
</sst>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0" xfId="0" applyFont="1" applyFill="1"/>
    <xf numFmtId="0" fontId="18" fillId="33" borderId="10" xfId="0" applyFont="1" applyFill="1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9" fillId="0" borderId="12" xfId="0" applyFont="1" applyFill="1" applyBorder="1" applyAlignment="1">
      <alignment horizontal="center"/>
    </xf>
    <xf numFmtId="0" fontId="19" fillId="0" borderId="12" xfId="0" applyFont="1" applyFill="1" applyBorder="1" applyAlignment="1">
      <alignment horizontal="centerContinuous"/>
    </xf>
    <xf numFmtId="164" fontId="18" fillId="33" borderId="0" xfId="0" applyNumberFormat="1" applyFont="1" applyFill="1"/>
    <xf numFmtId="164" fontId="0" fillId="0" borderId="0" xfId="0" applyNumberFormat="1"/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68400</xdr:colOff>
      <xdr:row>12</xdr:row>
      <xdr:rowOff>2239860</xdr:rowOff>
    </xdr:from>
    <xdr:to>
      <xdr:col>1</xdr:col>
      <xdr:colOff>809040</xdr:colOff>
      <xdr:row>12</xdr:row>
      <xdr:rowOff>2309700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B72D44F-E474-4F47-6AE1-D46E6F8294EF}"/>
                </a:ext>
              </a:extLst>
            </xdr14:cNvPr>
            <xdr14:cNvContentPartPr/>
          </xdr14:nvContentPartPr>
          <xdr14:nvPr macro=""/>
          <xdr14:xfrm>
            <a:off x="68400" y="4442040"/>
            <a:ext cx="1822680" cy="69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B72D44F-E474-4F47-6AE1-D46E6F8294E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0" y="4334040"/>
              <a:ext cx="1930320" cy="285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1-22T01:34:44.57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2,'96'-2,"104"4,-29 20,25 11,-25-3,-42-10,241 41,-339-54,-11-2,0-1,1 0,37 1,1279-6,-1161-10,8 0,932 12,-1091-3,-1-1,43-10,-29 5,99-11,41-9,-142 22,0 1,0 2,0 1,42 4,-13 0,-55-2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FBB-BCF5-4E2C-8053-9E7A1B5A6CEC}">
  <sheetPr filterMode="1"/>
  <dimension ref="A1:Q1001"/>
  <sheetViews>
    <sheetView workbookViewId="0">
      <pane ySplit="4" topLeftCell="A13" activePane="bottomLeft" state="frozen"/>
      <selection pane="bottomLeft" activeCell="C13" sqref="C13:C1000"/>
    </sheetView>
  </sheetViews>
  <sheetFormatPr defaultRowHeight="14.4" x14ac:dyDescent="0.3"/>
  <cols>
    <col min="1" max="1" width="11" customWidth="1"/>
    <col min="2" max="2" width="13.88671875" customWidth="1"/>
    <col min="3" max="3" width="15.5546875" customWidth="1"/>
    <col min="4" max="4" width="16.5546875" customWidth="1"/>
    <col min="5" max="5" width="16.5546875" style="8" customWidth="1"/>
    <col min="6" max="6" width="18.6640625" customWidth="1"/>
    <col min="7" max="7" width="18.44140625" customWidth="1"/>
    <col min="8" max="8" width="18.44140625" style="8" customWidth="1"/>
    <col min="9" max="9" width="21.44140625" customWidth="1"/>
    <col min="10" max="10" width="18.88671875" customWidth="1"/>
    <col min="11" max="11" width="16.6640625" customWidth="1"/>
    <col min="12" max="12" width="17.5546875" customWidth="1"/>
    <col min="13" max="13" width="15.21875" customWidth="1"/>
    <col min="14" max="14" width="19.44140625" customWidth="1"/>
    <col min="15" max="15" width="20.33203125" customWidth="1"/>
    <col min="16" max="16" width="15.77734375" customWidth="1"/>
    <col min="17" max="17" width="20.44140625" customWidth="1"/>
  </cols>
  <sheetData>
    <row r="1" spans="1:17" s="1" customFormat="1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1053</v>
      </c>
      <c r="F1" s="1" t="s">
        <v>4</v>
      </c>
      <c r="G1" s="1" t="s">
        <v>5</v>
      </c>
      <c r="H1" s="7" t="s">
        <v>1054</v>
      </c>
      <c r="I1" s="1" t="s">
        <v>6</v>
      </c>
      <c r="J1" s="1" t="s">
        <v>7</v>
      </c>
      <c r="K1" s="1" t="s">
        <v>8</v>
      </c>
      <c r="L1" s="2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idden="1" x14ac:dyDescent="0.3">
      <c r="A2" t="s">
        <v>36</v>
      </c>
      <c r="B2" t="s">
        <v>185</v>
      </c>
      <c r="C2">
        <v>1298</v>
      </c>
      <c r="D2">
        <v>4</v>
      </c>
      <c r="E2"/>
      <c r="F2">
        <v>64</v>
      </c>
      <c r="G2">
        <v>48</v>
      </c>
      <c r="H2"/>
      <c r="I2">
        <v>4500</v>
      </c>
      <c r="J2">
        <v>5.7</v>
      </c>
      <c r="K2">
        <v>44</v>
      </c>
      <c r="L2" t="s">
        <v>38</v>
      </c>
      <c r="M2" t="s">
        <v>18</v>
      </c>
      <c r="N2" t="s">
        <v>51</v>
      </c>
      <c r="O2">
        <v>3.5</v>
      </c>
      <c r="P2" t="s">
        <v>42</v>
      </c>
      <c r="Q2">
        <v>2025</v>
      </c>
    </row>
    <row r="3" spans="1:17" hidden="1" x14ac:dyDescent="0.3">
      <c r="A3" t="s">
        <v>32</v>
      </c>
      <c r="B3" t="s">
        <v>467</v>
      </c>
      <c r="C3">
        <v>1138</v>
      </c>
      <c r="D3">
        <v>4</v>
      </c>
      <c r="E3"/>
      <c r="F3">
        <v>128</v>
      </c>
      <c r="G3">
        <v>200</v>
      </c>
      <c r="H3"/>
      <c r="I3">
        <v>5000</v>
      </c>
      <c r="J3">
        <v>6.2</v>
      </c>
      <c r="K3">
        <v>65</v>
      </c>
      <c r="L3" t="s">
        <v>17</v>
      </c>
      <c r="M3" t="s">
        <v>34</v>
      </c>
      <c r="N3" t="s">
        <v>19</v>
      </c>
      <c r="O3">
        <v>3.5</v>
      </c>
      <c r="P3" t="s">
        <v>46</v>
      </c>
      <c r="Q3">
        <v>2025</v>
      </c>
    </row>
    <row r="4" spans="1:17" hidden="1" x14ac:dyDescent="0.3">
      <c r="A4" t="s">
        <v>29</v>
      </c>
      <c r="B4" t="s">
        <v>470</v>
      </c>
      <c r="C4">
        <v>1483</v>
      </c>
      <c r="D4">
        <v>4</v>
      </c>
      <c r="E4"/>
      <c r="F4">
        <v>512</v>
      </c>
      <c r="G4">
        <v>64</v>
      </c>
      <c r="H4"/>
      <c r="I4">
        <v>4000</v>
      </c>
      <c r="J4">
        <v>6.6</v>
      </c>
      <c r="K4">
        <v>120</v>
      </c>
      <c r="L4" t="s">
        <v>38</v>
      </c>
      <c r="M4" t="s">
        <v>18</v>
      </c>
      <c r="N4" t="s">
        <v>31</v>
      </c>
      <c r="O4">
        <v>3.5</v>
      </c>
      <c r="P4" t="s">
        <v>28</v>
      </c>
      <c r="Q4">
        <v>2025</v>
      </c>
    </row>
    <row r="5" spans="1:17" hidden="1" x14ac:dyDescent="0.3">
      <c r="A5" t="s">
        <v>66</v>
      </c>
      <c r="B5" t="s">
        <v>609</v>
      </c>
      <c r="C5">
        <v>920</v>
      </c>
      <c r="D5">
        <v>4</v>
      </c>
      <c r="E5" s="8">
        <f>C5/D5</f>
        <v>230</v>
      </c>
      <c r="F5">
        <v>256</v>
      </c>
      <c r="G5">
        <v>200</v>
      </c>
      <c r="H5" s="8">
        <f>C5/G5</f>
        <v>4.5999999999999996</v>
      </c>
      <c r="I5">
        <v>4000</v>
      </c>
      <c r="J5">
        <v>5.5</v>
      </c>
      <c r="K5">
        <v>18</v>
      </c>
      <c r="L5" t="s">
        <v>17</v>
      </c>
      <c r="M5" t="s">
        <v>18</v>
      </c>
      <c r="N5" t="s">
        <v>19</v>
      </c>
      <c r="O5">
        <v>3.5</v>
      </c>
      <c r="P5" t="s">
        <v>42</v>
      </c>
      <c r="Q5">
        <v>2025</v>
      </c>
    </row>
    <row r="6" spans="1:17" hidden="1" x14ac:dyDescent="0.3">
      <c r="A6" t="s">
        <v>66</v>
      </c>
      <c r="B6" t="s">
        <v>645</v>
      </c>
      <c r="C6">
        <v>761</v>
      </c>
      <c r="D6">
        <v>4</v>
      </c>
      <c r="E6"/>
      <c r="F6">
        <v>64</v>
      </c>
      <c r="G6">
        <v>200</v>
      </c>
      <c r="H6"/>
      <c r="I6">
        <v>6000</v>
      </c>
      <c r="J6">
        <v>6.2</v>
      </c>
      <c r="K6">
        <v>65</v>
      </c>
      <c r="L6" t="s">
        <v>17</v>
      </c>
      <c r="M6" t="s">
        <v>18</v>
      </c>
      <c r="N6" t="s">
        <v>19</v>
      </c>
      <c r="O6">
        <v>3.5</v>
      </c>
      <c r="P6" t="s">
        <v>46</v>
      </c>
      <c r="Q6">
        <v>2025</v>
      </c>
    </row>
    <row r="7" spans="1:17" hidden="1" x14ac:dyDescent="0.3">
      <c r="A7" t="s">
        <v>66</v>
      </c>
      <c r="B7" t="s">
        <v>750</v>
      </c>
      <c r="C7">
        <v>121</v>
      </c>
      <c r="D7">
        <v>4</v>
      </c>
      <c r="E7"/>
      <c r="F7">
        <v>128</v>
      </c>
      <c r="G7">
        <v>64</v>
      </c>
      <c r="H7"/>
      <c r="I7">
        <v>5000</v>
      </c>
      <c r="J7">
        <v>6.4</v>
      </c>
      <c r="K7">
        <v>100</v>
      </c>
      <c r="L7" t="s">
        <v>38</v>
      </c>
      <c r="M7" t="s">
        <v>18</v>
      </c>
      <c r="N7" t="s">
        <v>48</v>
      </c>
      <c r="O7">
        <v>3.5</v>
      </c>
      <c r="P7" t="s">
        <v>71</v>
      </c>
      <c r="Q7">
        <v>2025</v>
      </c>
    </row>
    <row r="8" spans="1:17" hidden="1" x14ac:dyDescent="0.3">
      <c r="A8" t="s">
        <v>36</v>
      </c>
      <c r="B8" t="s">
        <v>850</v>
      </c>
      <c r="C8">
        <v>1269</v>
      </c>
      <c r="D8">
        <v>4</v>
      </c>
      <c r="E8"/>
      <c r="F8">
        <v>64</v>
      </c>
      <c r="G8">
        <v>64</v>
      </c>
      <c r="H8"/>
      <c r="I8">
        <v>6000</v>
      </c>
      <c r="J8">
        <v>6.7</v>
      </c>
      <c r="K8">
        <v>33</v>
      </c>
      <c r="L8" t="s">
        <v>38</v>
      </c>
      <c r="M8" t="s">
        <v>18</v>
      </c>
      <c r="N8" t="s">
        <v>61</v>
      </c>
      <c r="O8">
        <v>3.5</v>
      </c>
      <c r="P8" t="s">
        <v>20</v>
      </c>
      <c r="Q8">
        <v>2025</v>
      </c>
    </row>
    <row r="9" spans="1:17" hidden="1" x14ac:dyDescent="0.3">
      <c r="A9" t="s">
        <v>21</v>
      </c>
      <c r="B9" t="s">
        <v>303</v>
      </c>
      <c r="C9">
        <v>1420</v>
      </c>
      <c r="D9">
        <v>6</v>
      </c>
      <c r="E9" s="8">
        <f t="shared" ref="E9:E10" si="0">C9/D9</f>
        <v>236.66666666666666</v>
      </c>
      <c r="F9">
        <v>256</v>
      </c>
      <c r="G9">
        <v>200</v>
      </c>
      <c r="H9" s="8">
        <f t="shared" ref="H9:H10" si="1">C9/G9</f>
        <v>7.1</v>
      </c>
      <c r="I9">
        <v>5000</v>
      </c>
      <c r="J9">
        <v>5.6</v>
      </c>
      <c r="K9">
        <v>18</v>
      </c>
      <c r="L9" t="s">
        <v>17</v>
      </c>
      <c r="M9" t="s">
        <v>18</v>
      </c>
      <c r="N9" t="s">
        <v>31</v>
      </c>
      <c r="O9">
        <v>3.5</v>
      </c>
      <c r="P9" t="s">
        <v>46</v>
      </c>
      <c r="Q9">
        <v>2025</v>
      </c>
    </row>
    <row r="10" spans="1:17" hidden="1" x14ac:dyDescent="0.3">
      <c r="A10" t="s">
        <v>29</v>
      </c>
      <c r="B10" t="s">
        <v>864</v>
      </c>
      <c r="C10">
        <v>1011</v>
      </c>
      <c r="D10">
        <v>4</v>
      </c>
      <c r="E10" s="8">
        <f t="shared" si="0"/>
        <v>252.75</v>
      </c>
      <c r="F10">
        <v>64</v>
      </c>
      <c r="G10">
        <v>64</v>
      </c>
      <c r="H10" s="8">
        <f t="shared" si="1"/>
        <v>15.796875</v>
      </c>
      <c r="I10">
        <v>6000</v>
      </c>
      <c r="J10">
        <v>6.8</v>
      </c>
      <c r="K10">
        <v>33</v>
      </c>
      <c r="L10" t="s">
        <v>17</v>
      </c>
      <c r="M10" t="s">
        <v>18</v>
      </c>
      <c r="N10" t="s">
        <v>35</v>
      </c>
      <c r="O10">
        <v>3.5</v>
      </c>
      <c r="P10" t="s">
        <v>44</v>
      </c>
      <c r="Q10">
        <v>2025</v>
      </c>
    </row>
    <row r="11" spans="1:17" hidden="1" x14ac:dyDescent="0.3">
      <c r="A11" t="s">
        <v>21</v>
      </c>
      <c r="B11" t="s">
        <v>114</v>
      </c>
      <c r="C11">
        <v>112</v>
      </c>
      <c r="D11">
        <v>6</v>
      </c>
      <c r="E11"/>
      <c r="F11">
        <v>256</v>
      </c>
      <c r="G11">
        <v>200</v>
      </c>
      <c r="H11"/>
      <c r="I11">
        <v>4000</v>
      </c>
      <c r="J11">
        <v>5.5</v>
      </c>
      <c r="K11">
        <v>120</v>
      </c>
      <c r="L11" t="s">
        <v>38</v>
      </c>
      <c r="M11" t="s">
        <v>18</v>
      </c>
      <c r="N11" t="s">
        <v>61</v>
      </c>
      <c r="O11">
        <v>3.5</v>
      </c>
      <c r="P11" t="s">
        <v>64</v>
      </c>
      <c r="Q11">
        <v>2025</v>
      </c>
    </row>
    <row r="12" spans="1:17" hidden="1" x14ac:dyDescent="0.3">
      <c r="A12" t="s">
        <v>40</v>
      </c>
      <c r="B12" t="s">
        <v>165</v>
      </c>
      <c r="C12">
        <v>1257</v>
      </c>
      <c r="D12">
        <v>6</v>
      </c>
      <c r="E12"/>
      <c r="F12">
        <v>1024</v>
      </c>
      <c r="G12">
        <v>108</v>
      </c>
      <c r="H12"/>
      <c r="I12">
        <v>5000</v>
      </c>
      <c r="J12">
        <v>5.9</v>
      </c>
      <c r="K12">
        <v>18</v>
      </c>
      <c r="L12" t="s">
        <v>17</v>
      </c>
      <c r="M12" t="s">
        <v>18</v>
      </c>
      <c r="N12" t="s">
        <v>48</v>
      </c>
      <c r="O12">
        <v>3.5</v>
      </c>
      <c r="P12" t="s">
        <v>64</v>
      </c>
      <c r="Q12">
        <v>2025</v>
      </c>
    </row>
    <row r="13" spans="1:17" x14ac:dyDescent="0.3">
      <c r="A13" t="s">
        <v>66</v>
      </c>
      <c r="B13" t="s">
        <v>881</v>
      </c>
      <c r="C13">
        <v>604</v>
      </c>
      <c r="D13">
        <v>4</v>
      </c>
      <c r="E13" s="8">
        <f>C13/D13</f>
        <v>151</v>
      </c>
      <c r="F13">
        <v>64</v>
      </c>
      <c r="G13">
        <v>12</v>
      </c>
      <c r="H13" s="8">
        <f>C13/G13</f>
        <v>50.333333333333336</v>
      </c>
      <c r="I13">
        <v>5500</v>
      </c>
      <c r="J13">
        <v>7.1</v>
      </c>
      <c r="K13">
        <v>33</v>
      </c>
      <c r="L13" t="s">
        <v>38</v>
      </c>
      <c r="M13" t="s">
        <v>18</v>
      </c>
      <c r="N13" t="s">
        <v>27</v>
      </c>
      <c r="O13">
        <v>3.5</v>
      </c>
      <c r="P13" t="s">
        <v>28</v>
      </c>
      <c r="Q13">
        <v>2025</v>
      </c>
    </row>
    <row r="14" spans="1:17" hidden="1" x14ac:dyDescent="0.3">
      <c r="A14" t="s">
        <v>21</v>
      </c>
      <c r="B14" t="s">
        <v>278</v>
      </c>
      <c r="C14">
        <v>538</v>
      </c>
      <c r="D14">
        <v>6</v>
      </c>
      <c r="E14"/>
      <c r="F14">
        <v>512</v>
      </c>
      <c r="G14">
        <v>48</v>
      </c>
      <c r="H14"/>
      <c r="I14">
        <v>6000</v>
      </c>
      <c r="J14">
        <v>6.6</v>
      </c>
      <c r="K14">
        <v>65</v>
      </c>
      <c r="L14" t="s">
        <v>38</v>
      </c>
      <c r="M14" t="s">
        <v>18</v>
      </c>
      <c r="N14" t="s">
        <v>23</v>
      </c>
      <c r="O14">
        <v>3.5</v>
      </c>
      <c r="P14" t="s">
        <v>54</v>
      </c>
      <c r="Q14">
        <v>2025</v>
      </c>
    </row>
    <row r="15" spans="1:17" x14ac:dyDescent="0.3">
      <c r="A15" t="s">
        <v>49</v>
      </c>
      <c r="B15" t="s">
        <v>825</v>
      </c>
      <c r="C15">
        <v>540</v>
      </c>
      <c r="D15">
        <v>16</v>
      </c>
      <c r="E15" s="8">
        <f t="shared" ref="E15:E16" si="2">C15/D15</f>
        <v>33.75</v>
      </c>
      <c r="F15">
        <v>512</v>
      </c>
      <c r="G15">
        <v>200</v>
      </c>
      <c r="H15" s="8">
        <f t="shared" ref="H15:H16" si="3">C15/G15</f>
        <v>2.7</v>
      </c>
      <c r="I15">
        <v>5000</v>
      </c>
      <c r="J15">
        <v>5.6</v>
      </c>
      <c r="K15">
        <v>44</v>
      </c>
      <c r="L15" t="s">
        <v>38</v>
      </c>
      <c r="M15" t="s">
        <v>18</v>
      </c>
      <c r="N15" t="s">
        <v>23</v>
      </c>
      <c r="O15">
        <v>3.5</v>
      </c>
      <c r="P15" t="s">
        <v>64</v>
      </c>
      <c r="Q15">
        <v>2025</v>
      </c>
    </row>
    <row r="16" spans="1:17" x14ac:dyDescent="0.3">
      <c r="A16" t="s">
        <v>36</v>
      </c>
      <c r="B16" t="s">
        <v>333</v>
      </c>
      <c r="C16">
        <v>1033</v>
      </c>
      <c r="D16">
        <v>6</v>
      </c>
      <c r="E16" s="8">
        <f t="shared" si="2"/>
        <v>172.16666666666666</v>
      </c>
      <c r="F16">
        <v>512</v>
      </c>
      <c r="G16">
        <v>50</v>
      </c>
      <c r="H16" s="8">
        <f t="shared" si="3"/>
        <v>20.66</v>
      </c>
      <c r="I16">
        <v>5500</v>
      </c>
      <c r="J16">
        <v>6.7</v>
      </c>
      <c r="K16">
        <v>44</v>
      </c>
      <c r="L16" t="s">
        <v>38</v>
      </c>
      <c r="M16" t="s">
        <v>18</v>
      </c>
      <c r="N16" t="s">
        <v>23</v>
      </c>
      <c r="O16">
        <v>3.5</v>
      </c>
      <c r="P16" t="s">
        <v>44</v>
      </c>
      <c r="Q16">
        <v>2025</v>
      </c>
    </row>
    <row r="17" spans="1:17" hidden="1" x14ac:dyDescent="0.3">
      <c r="A17" t="s">
        <v>66</v>
      </c>
      <c r="B17" t="s">
        <v>565</v>
      </c>
      <c r="C17">
        <v>1337</v>
      </c>
      <c r="D17">
        <v>6</v>
      </c>
      <c r="E17"/>
      <c r="F17">
        <v>128</v>
      </c>
      <c r="G17">
        <v>200</v>
      </c>
      <c r="H17"/>
      <c r="I17">
        <v>4000</v>
      </c>
      <c r="J17">
        <v>5.9</v>
      </c>
      <c r="K17">
        <v>100</v>
      </c>
      <c r="L17" t="s">
        <v>17</v>
      </c>
      <c r="M17" t="s">
        <v>18</v>
      </c>
      <c r="N17" t="s">
        <v>61</v>
      </c>
      <c r="O17">
        <v>3.5</v>
      </c>
      <c r="P17" t="s">
        <v>64</v>
      </c>
      <c r="Q17">
        <v>2025</v>
      </c>
    </row>
    <row r="18" spans="1:17" x14ac:dyDescent="0.3">
      <c r="A18" t="s">
        <v>32</v>
      </c>
      <c r="B18" t="s">
        <v>80</v>
      </c>
      <c r="C18">
        <v>1058</v>
      </c>
      <c r="D18">
        <v>6</v>
      </c>
      <c r="E18" s="8">
        <f>C18/D18</f>
        <v>176.33333333333334</v>
      </c>
      <c r="F18">
        <v>64</v>
      </c>
      <c r="G18">
        <v>48</v>
      </c>
      <c r="H18" s="8">
        <f>C18/G18</f>
        <v>22.041666666666668</v>
      </c>
      <c r="I18">
        <v>5000</v>
      </c>
      <c r="J18">
        <v>6.8</v>
      </c>
      <c r="K18">
        <v>44</v>
      </c>
      <c r="L18" t="s">
        <v>38</v>
      </c>
      <c r="M18" t="s">
        <v>34</v>
      </c>
      <c r="N18" t="s">
        <v>51</v>
      </c>
      <c r="O18">
        <v>3.5</v>
      </c>
      <c r="P18" t="s">
        <v>46</v>
      </c>
      <c r="Q18">
        <v>2025</v>
      </c>
    </row>
    <row r="19" spans="1:17" hidden="1" x14ac:dyDescent="0.3">
      <c r="A19" t="s">
        <v>25</v>
      </c>
      <c r="B19" t="s">
        <v>689</v>
      </c>
      <c r="C19">
        <v>1436</v>
      </c>
      <c r="D19">
        <v>8</v>
      </c>
      <c r="E19"/>
      <c r="F19">
        <v>256</v>
      </c>
      <c r="G19">
        <v>64</v>
      </c>
      <c r="H19"/>
      <c r="I19">
        <v>4000</v>
      </c>
      <c r="J19">
        <v>6.1</v>
      </c>
      <c r="K19">
        <v>33</v>
      </c>
      <c r="L19" t="s">
        <v>38</v>
      </c>
      <c r="M19" t="s">
        <v>18</v>
      </c>
      <c r="N19" t="s">
        <v>61</v>
      </c>
      <c r="O19">
        <v>3.5</v>
      </c>
      <c r="P19" t="s">
        <v>20</v>
      </c>
      <c r="Q19">
        <v>2025</v>
      </c>
    </row>
    <row r="20" spans="1:17" hidden="1" x14ac:dyDescent="0.3">
      <c r="A20" t="s">
        <v>32</v>
      </c>
      <c r="B20" t="s">
        <v>33</v>
      </c>
      <c r="C20">
        <v>335</v>
      </c>
      <c r="D20">
        <v>12</v>
      </c>
      <c r="E20"/>
      <c r="F20">
        <v>128</v>
      </c>
      <c r="G20">
        <v>200</v>
      </c>
      <c r="H20"/>
      <c r="I20">
        <v>5000</v>
      </c>
      <c r="J20">
        <v>6.9</v>
      </c>
      <c r="K20">
        <v>100</v>
      </c>
      <c r="L20" t="s">
        <v>17</v>
      </c>
      <c r="M20" t="s">
        <v>34</v>
      </c>
      <c r="N20" t="s">
        <v>35</v>
      </c>
      <c r="O20">
        <v>3.5</v>
      </c>
      <c r="P20" t="s">
        <v>20</v>
      </c>
      <c r="Q20">
        <v>2025</v>
      </c>
    </row>
    <row r="21" spans="1:17" hidden="1" x14ac:dyDescent="0.3">
      <c r="A21" t="s">
        <v>49</v>
      </c>
      <c r="B21" t="s">
        <v>170</v>
      </c>
      <c r="C21">
        <v>514</v>
      </c>
      <c r="D21">
        <v>12</v>
      </c>
      <c r="E21"/>
      <c r="F21">
        <v>128</v>
      </c>
      <c r="G21">
        <v>64</v>
      </c>
      <c r="H21"/>
      <c r="I21">
        <v>6000</v>
      </c>
      <c r="J21">
        <v>7</v>
      </c>
      <c r="K21">
        <v>100</v>
      </c>
      <c r="L21" t="s">
        <v>17</v>
      </c>
      <c r="M21" t="s">
        <v>18</v>
      </c>
      <c r="N21" t="s">
        <v>35</v>
      </c>
      <c r="O21">
        <v>3.5</v>
      </c>
      <c r="P21" t="s">
        <v>24</v>
      </c>
      <c r="Q21">
        <v>2025</v>
      </c>
    </row>
    <row r="22" spans="1:17" hidden="1" x14ac:dyDescent="0.3">
      <c r="A22" t="s">
        <v>29</v>
      </c>
      <c r="B22" t="s">
        <v>318</v>
      </c>
      <c r="C22">
        <v>1479</v>
      </c>
      <c r="D22">
        <v>12</v>
      </c>
      <c r="E22"/>
      <c r="F22">
        <v>1024</v>
      </c>
      <c r="G22">
        <v>108</v>
      </c>
      <c r="H22"/>
      <c r="I22">
        <v>4000</v>
      </c>
      <c r="J22">
        <v>6.2</v>
      </c>
      <c r="K22">
        <v>100</v>
      </c>
      <c r="L22" t="s">
        <v>38</v>
      </c>
      <c r="M22" t="s">
        <v>18</v>
      </c>
      <c r="N22" t="s">
        <v>61</v>
      </c>
      <c r="O22">
        <v>3.5</v>
      </c>
      <c r="P22" t="s">
        <v>46</v>
      </c>
      <c r="Q22">
        <v>2025</v>
      </c>
    </row>
    <row r="23" spans="1:17" hidden="1" x14ac:dyDescent="0.3">
      <c r="A23" t="s">
        <v>21</v>
      </c>
      <c r="B23" t="s">
        <v>352</v>
      </c>
      <c r="C23">
        <v>342</v>
      </c>
      <c r="D23">
        <v>12</v>
      </c>
      <c r="E23"/>
      <c r="F23">
        <v>512</v>
      </c>
      <c r="G23">
        <v>12</v>
      </c>
      <c r="H23"/>
      <c r="I23">
        <v>4500</v>
      </c>
      <c r="J23">
        <v>7</v>
      </c>
      <c r="K23">
        <v>65</v>
      </c>
      <c r="L23" t="s">
        <v>17</v>
      </c>
      <c r="M23" t="s">
        <v>18</v>
      </c>
      <c r="N23" t="s">
        <v>23</v>
      </c>
      <c r="O23">
        <v>3.5</v>
      </c>
      <c r="P23" t="s">
        <v>64</v>
      </c>
      <c r="Q23">
        <v>2025</v>
      </c>
    </row>
    <row r="24" spans="1:17" hidden="1" x14ac:dyDescent="0.3">
      <c r="A24" t="s">
        <v>29</v>
      </c>
      <c r="B24" t="s">
        <v>456</v>
      </c>
      <c r="C24">
        <v>642</v>
      </c>
      <c r="D24">
        <v>12</v>
      </c>
      <c r="E24"/>
      <c r="F24">
        <v>128</v>
      </c>
      <c r="G24">
        <v>108</v>
      </c>
      <c r="H24"/>
      <c r="I24">
        <v>5000</v>
      </c>
      <c r="J24">
        <v>6</v>
      </c>
      <c r="K24">
        <v>120</v>
      </c>
      <c r="L24" t="s">
        <v>17</v>
      </c>
      <c r="M24" t="s">
        <v>18</v>
      </c>
      <c r="N24" t="s">
        <v>48</v>
      </c>
      <c r="O24">
        <v>3.5</v>
      </c>
      <c r="P24" t="s">
        <v>42</v>
      </c>
      <c r="Q24">
        <v>2025</v>
      </c>
    </row>
    <row r="25" spans="1:17" hidden="1" x14ac:dyDescent="0.3">
      <c r="A25" t="s">
        <v>49</v>
      </c>
      <c r="B25" t="s">
        <v>606</v>
      </c>
      <c r="C25">
        <v>1199</v>
      </c>
      <c r="D25">
        <v>12</v>
      </c>
      <c r="E25"/>
      <c r="F25">
        <v>256</v>
      </c>
      <c r="G25">
        <v>12</v>
      </c>
      <c r="H25"/>
      <c r="I25">
        <v>6000</v>
      </c>
      <c r="J25">
        <v>6.1</v>
      </c>
      <c r="K25">
        <v>100</v>
      </c>
      <c r="L25" t="s">
        <v>17</v>
      </c>
      <c r="M25" t="s">
        <v>18</v>
      </c>
      <c r="N25" t="s">
        <v>35</v>
      </c>
      <c r="O25">
        <v>3.5</v>
      </c>
      <c r="P25" t="s">
        <v>71</v>
      </c>
      <c r="Q25">
        <v>2025</v>
      </c>
    </row>
    <row r="26" spans="1:17" hidden="1" x14ac:dyDescent="0.3">
      <c r="A26" t="s">
        <v>40</v>
      </c>
      <c r="B26" t="s">
        <v>366</v>
      </c>
      <c r="C26">
        <v>263</v>
      </c>
      <c r="D26">
        <v>16</v>
      </c>
      <c r="E26"/>
      <c r="F26">
        <v>128</v>
      </c>
      <c r="G26">
        <v>12</v>
      </c>
      <c r="H26"/>
      <c r="I26">
        <v>5500</v>
      </c>
      <c r="J26">
        <v>6.8</v>
      </c>
      <c r="K26">
        <v>100</v>
      </c>
      <c r="L26" t="s">
        <v>17</v>
      </c>
      <c r="M26" t="s">
        <v>18</v>
      </c>
      <c r="N26" t="s">
        <v>23</v>
      </c>
      <c r="O26">
        <v>3.5</v>
      </c>
      <c r="P26" t="s">
        <v>82</v>
      </c>
      <c r="Q26">
        <v>2025</v>
      </c>
    </row>
    <row r="27" spans="1:17" hidden="1" x14ac:dyDescent="0.3">
      <c r="A27" t="s">
        <v>49</v>
      </c>
      <c r="B27" t="s">
        <v>500</v>
      </c>
      <c r="C27">
        <v>1436</v>
      </c>
      <c r="D27">
        <v>16</v>
      </c>
      <c r="E27"/>
      <c r="F27">
        <v>128</v>
      </c>
      <c r="G27">
        <v>50</v>
      </c>
      <c r="H27"/>
      <c r="I27">
        <v>4000</v>
      </c>
      <c r="J27">
        <v>6.8</v>
      </c>
      <c r="K27">
        <v>44</v>
      </c>
      <c r="L27" t="s">
        <v>17</v>
      </c>
      <c r="M27" t="s">
        <v>18</v>
      </c>
      <c r="N27" t="s">
        <v>48</v>
      </c>
      <c r="O27">
        <v>3.5</v>
      </c>
      <c r="P27" t="s">
        <v>39</v>
      </c>
      <c r="Q27">
        <v>2025</v>
      </c>
    </row>
    <row r="28" spans="1:17" hidden="1" x14ac:dyDescent="0.3">
      <c r="A28" t="s">
        <v>29</v>
      </c>
      <c r="B28" t="s">
        <v>581</v>
      </c>
      <c r="C28">
        <v>1218</v>
      </c>
      <c r="D28">
        <v>16</v>
      </c>
      <c r="E28"/>
      <c r="F28">
        <v>256</v>
      </c>
      <c r="G28">
        <v>48</v>
      </c>
      <c r="H28"/>
      <c r="I28">
        <v>5000</v>
      </c>
      <c r="J28">
        <v>6.8</v>
      </c>
      <c r="K28">
        <v>65</v>
      </c>
      <c r="L28" t="s">
        <v>17</v>
      </c>
      <c r="M28" t="s">
        <v>18</v>
      </c>
      <c r="N28" t="s">
        <v>48</v>
      </c>
      <c r="O28">
        <v>3.5</v>
      </c>
      <c r="P28" t="s">
        <v>42</v>
      </c>
      <c r="Q28">
        <v>2025</v>
      </c>
    </row>
    <row r="29" spans="1:17" x14ac:dyDescent="0.3">
      <c r="A29" t="s">
        <v>36</v>
      </c>
      <c r="B29" t="s">
        <v>243</v>
      </c>
      <c r="C29">
        <v>304</v>
      </c>
      <c r="D29">
        <v>6</v>
      </c>
      <c r="E29" s="8">
        <f>C29/D29</f>
        <v>50.666666666666664</v>
      </c>
      <c r="F29">
        <v>1024</v>
      </c>
      <c r="G29">
        <v>48</v>
      </c>
      <c r="H29" s="8">
        <f>C29/G29</f>
        <v>6.333333333333333</v>
      </c>
      <c r="I29">
        <v>4000</v>
      </c>
      <c r="J29">
        <v>7.1</v>
      </c>
      <c r="K29">
        <v>100</v>
      </c>
      <c r="L29" t="s">
        <v>38</v>
      </c>
      <c r="M29" t="s">
        <v>18</v>
      </c>
      <c r="N29" t="s">
        <v>51</v>
      </c>
      <c r="O29">
        <v>3.5</v>
      </c>
      <c r="P29" t="s">
        <v>64</v>
      </c>
      <c r="Q29">
        <v>2025</v>
      </c>
    </row>
    <row r="30" spans="1:17" hidden="1" x14ac:dyDescent="0.3">
      <c r="A30" t="s">
        <v>15</v>
      </c>
      <c r="B30" t="s">
        <v>922</v>
      </c>
      <c r="C30">
        <v>1348</v>
      </c>
      <c r="D30">
        <v>16</v>
      </c>
      <c r="E30"/>
      <c r="F30">
        <v>128</v>
      </c>
      <c r="G30">
        <v>12</v>
      </c>
      <c r="H30"/>
      <c r="I30">
        <v>5500</v>
      </c>
      <c r="J30">
        <v>6.1</v>
      </c>
      <c r="K30">
        <v>33</v>
      </c>
      <c r="L30" t="s">
        <v>17</v>
      </c>
      <c r="M30" t="s">
        <v>18</v>
      </c>
      <c r="N30" t="s">
        <v>61</v>
      </c>
      <c r="O30">
        <v>3.5</v>
      </c>
      <c r="P30" t="s">
        <v>20</v>
      </c>
      <c r="Q30">
        <v>2025</v>
      </c>
    </row>
    <row r="31" spans="1:17" hidden="1" x14ac:dyDescent="0.3">
      <c r="A31" t="s">
        <v>36</v>
      </c>
      <c r="B31" t="s">
        <v>1036</v>
      </c>
      <c r="C31">
        <v>158</v>
      </c>
      <c r="D31">
        <v>16</v>
      </c>
      <c r="E31"/>
      <c r="F31">
        <v>64</v>
      </c>
      <c r="G31">
        <v>64</v>
      </c>
      <c r="H31"/>
      <c r="I31">
        <v>5500</v>
      </c>
      <c r="J31">
        <v>5.6</v>
      </c>
      <c r="K31">
        <v>65</v>
      </c>
      <c r="L31" t="s">
        <v>17</v>
      </c>
      <c r="M31" t="s">
        <v>18</v>
      </c>
      <c r="N31" t="s">
        <v>35</v>
      </c>
      <c r="O31">
        <v>3.5</v>
      </c>
      <c r="P31" t="s">
        <v>44</v>
      </c>
      <c r="Q31">
        <v>2025</v>
      </c>
    </row>
    <row r="32" spans="1:17" hidden="1" x14ac:dyDescent="0.3">
      <c r="A32" t="s">
        <v>36</v>
      </c>
      <c r="B32" t="s">
        <v>224</v>
      </c>
      <c r="C32">
        <v>724</v>
      </c>
      <c r="D32">
        <v>4</v>
      </c>
      <c r="E32"/>
      <c r="F32">
        <v>128</v>
      </c>
      <c r="G32">
        <v>64</v>
      </c>
      <c r="H32"/>
      <c r="I32">
        <v>5000</v>
      </c>
      <c r="J32">
        <v>5.7</v>
      </c>
      <c r="K32">
        <v>65</v>
      </c>
      <c r="L32" t="s">
        <v>38</v>
      </c>
      <c r="M32" t="s">
        <v>18</v>
      </c>
      <c r="N32" t="s">
        <v>48</v>
      </c>
      <c r="O32">
        <v>3.6</v>
      </c>
      <c r="P32" t="s">
        <v>20</v>
      </c>
      <c r="Q32">
        <v>2025</v>
      </c>
    </row>
    <row r="33" spans="1:17" hidden="1" x14ac:dyDescent="0.3">
      <c r="A33" t="s">
        <v>36</v>
      </c>
      <c r="B33" t="s">
        <v>244</v>
      </c>
      <c r="C33">
        <v>975</v>
      </c>
      <c r="D33">
        <v>4</v>
      </c>
      <c r="E33"/>
      <c r="F33">
        <v>1024</v>
      </c>
      <c r="G33">
        <v>200</v>
      </c>
      <c r="H33"/>
      <c r="I33">
        <v>4000</v>
      </c>
      <c r="J33">
        <v>5.6</v>
      </c>
      <c r="K33">
        <v>65</v>
      </c>
      <c r="L33" t="s">
        <v>38</v>
      </c>
      <c r="M33" t="s">
        <v>18</v>
      </c>
      <c r="N33" t="s">
        <v>27</v>
      </c>
      <c r="O33">
        <v>3.6</v>
      </c>
      <c r="P33" t="s">
        <v>64</v>
      </c>
      <c r="Q33">
        <v>2025</v>
      </c>
    </row>
    <row r="34" spans="1:17" hidden="1" x14ac:dyDescent="0.3">
      <c r="A34" t="s">
        <v>29</v>
      </c>
      <c r="B34" t="s">
        <v>626</v>
      </c>
      <c r="C34">
        <v>926</v>
      </c>
      <c r="D34">
        <v>4</v>
      </c>
      <c r="E34"/>
      <c r="F34">
        <v>1024</v>
      </c>
      <c r="G34">
        <v>12</v>
      </c>
      <c r="H34"/>
      <c r="I34">
        <v>4000</v>
      </c>
      <c r="J34">
        <v>6.2</v>
      </c>
      <c r="K34">
        <v>18</v>
      </c>
      <c r="L34" t="s">
        <v>17</v>
      </c>
      <c r="M34" t="s">
        <v>18</v>
      </c>
      <c r="N34" t="s">
        <v>61</v>
      </c>
      <c r="O34">
        <v>3.6</v>
      </c>
      <c r="P34" t="s">
        <v>44</v>
      </c>
      <c r="Q34">
        <v>2025</v>
      </c>
    </row>
    <row r="35" spans="1:17" hidden="1" x14ac:dyDescent="0.3">
      <c r="A35" t="s">
        <v>36</v>
      </c>
      <c r="B35" t="s">
        <v>805</v>
      </c>
      <c r="C35">
        <v>450</v>
      </c>
      <c r="D35">
        <v>12</v>
      </c>
      <c r="E35" s="8">
        <f>C35/D35</f>
        <v>37.5</v>
      </c>
      <c r="F35">
        <v>128</v>
      </c>
      <c r="G35">
        <v>12</v>
      </c>
      <c r="H35" s="8">
        <f>C35/G35</f>
        <v>37.5</v>
      </c>
      <c r="I35">
        <v>4500</v>
      </c>
      <c r="J35">
        <v>5.6</v>
      </c>
      <c r="K35">
        <v>18</v>
      </c>
      <c r="L35" t="s">
        <v>17</v>
      </c>
      <c r="M35" t="s">
        <v>18</v>
      </c>
      <c r="N35" t="s">
        <v>27</v>
      </c>
      <c r="O35">
        <v>3.6</v>
      </c>
      <c r="P35" t="s">
        <v>54</v>
      </c>
      <c r="Q35">
        <v>2025</v>
      </c>
    </row>
    <row r="36" spans="1:17" hidden="1" x14ac:dyDescent="0.3">
      <c r="A36" t="s">
        <v>36</v>
      </c>
      <c r="B36" t="s">
        <v>708</v>
      </c>
      <c r="C36">
        <v>491</v>
      </c>
      <c r="D36">
        <v>4</v>
      </c>
      <c r="E36"/>
      <c r="F36">
        <v>256</v>
      </c>
      <c r="G36">
        <v>48</v>
      </c>
      <c r="H36"/>
      <c r="I36">
        <v>4000</v>
      </c>
      <c r="J36">
        <v>7.2</v>
      </c>
      <c r="K36">
        <v>100</v>
      </c>
      <c r="L36" t="s">
        <v>38</v>
      </c>
      <c r="M36" t="s">
        <v>18</v>
      </c>
      <c r="N36" t="s">
        <v>48</v>
      </c>
      <c r="O36">
        <v>3.6</v>
      </c>
      <c r="P36" t="s">
        <v>56</v>
      </c>
      <c r="Q36">
        <v>2025</v>
      </c>
    </row>
    <row r="37" spans="1:17" hidden="1" x14ac:dyDescent="0.3">
      <c r="A37" t="s">
        <v>25</v>
      </c>
      <c r="B37" t="s">
        <v>749</v>
      </c>
      <c r="C37">
        <v>884</v>
      </c>
      <c r="D37">
        <v>4</v>
      </c>
      <c r="E37"/>
      <c r="F37">
        <v>1024</v>
      </c>
      <c r="G37">
        <v>50</v>
      </c>
      <c r="H37"/>
      <c r="I37">
        <v>6000</v>
      </c>
      <c r="J37">
        <v>6.5</v>
      </c>
      <c r="K37">
        <v>100</v>
      </c>
      <c r="L37" t="s">
        <v>17</v>
      </c>
      <c r="M37" t="s">
        <v>18</v>
      </c>
      <c r="N37" t="s">
        <v>23</v>
      </c>
      <c r="O37">
        <v>3.6</v>
      </c>
      <c r="P37" t="s">
        <v>56</v>
      </c>
      <c r="Q37">
        <v>2025</v>
      </c>
    </row>
    <row r="38" spans="1:17" hidden="1" x14ac:dyDescent="0.3">
      <c r="A38" t="s">
        <v>32</v>
      </c>
      <c r="B38" t="s">
        <v>852</v>
      </c>
      <c r="C38">
        <v>790</v>
      </c>
      <c r="D38">
        <v>12</v>
      </c>
      <c r="E38" s="8">
        <f>C38/D38</f>
        <v>65.833333333333329</v>
      </c>
      <c r="F38">
        <v>256</v>
      </c>
      <c r="G38">
        <v>50</v>
      </c>
      <c r="H38" s="8">
        <f>C38/G38</f>
        <v>15.8</v>
      </c>
      <c r="I38">
        <v>4000</v>
      </c>
      <c r="J38">
        <v>6.5</v>
      </c>
      <c r="K38">
        <v>18</v>
      </c>
      <c r="L38" t="s">
        <v>17</v>
      </c>
      <c r="M38" t="s">
        <v>34</v>
      </c>
      <c r="N38" t="s">
        <v>27</v>
      </c>
      <c r="O38">
        <v>3.6</v>
      </c>
      <c r="P38" t="s">
        <v>71</v>
      </c>
      <c r="Q38">
        <v>2025</v>
      </c>
    </row>
    <row r="39" spans="1:17" hidden="1" x14ac:dyDescent="0.3">
      <c r="A39" t="s">
        <v>36</v>
      </c>
      <c r="B39" t="s">
        <v>859</v>
      </c>
      <c r="C39">
        <v>1461</v>
      </c>
      <c r="D39">
        <v>4</v>
      </c>
      <c r="E39"/>
      <c r="F39">
        <v>128</v>
      </c>
      <c r="G39">
        <v>64</v>
      </c>
      <c r="H39"/>
      <c r="I39">
        <v>5000</v>
      </c>
      <c r="J39">
        <v>5.8</v>
      </c>
      <c r="K39">
        <v>18</v>
      </c>
      <c r="L39" t="s">
        <v>38</v>
      </c>
      <c r="M39" t="s">
        <v>18</v>
      </c>
      <c r="N39" t="s">
        <v>31</v>
      </c>
      <c r="O39">
        <v>3.6</v>
      </c>
      <c r="P39" t="s">
        <v>20</v>
      </c>
      <c r="Q39">
        <v>2025</v>
      </c>
    </row>
    <row r="40" spans="1:17" hidden="1" x14ac:dyDescent="0.3">
      <c r="A40" t="s">
        <v>25</v>
      </c>
      <c r="B40" t="s">
        <v>867</v>
      </c>
      <c r="C40">
        <v>978</v>
      </c>
      <c r="D40">
        <v>4</v>
      </c>
      <c r="E40"/>
      <c r="F40">
        <v>512</v>
      </c>
      <c r="G40">
        <v>108</v>
      </c>
      <c r="H40"/>
      <c r="I40">
        <v>5500</v>
      </c>
      <c r="J40">
        <v>6.1</v>
      </c>
      <c r="K40">
        <v>44</v>
      </c>
      <c r="L40" t="s">
        <v>38</v>
      </c>
      <c r="M40" t="s">
        <v>18</v>
      </c>
      <c r="N40" t="s">
        <v>61</v>
      </c>
      <c r="O40">
        <v>3.6</v>
      </c>
      <c r="P40" t="s">
        <v>44</v>
      </c>
      <c r="Q40">
        <v>2025</v>
      </c>
    </row>
    <row r="41" spans="1:17" hidden="1" x14ac:dyDescent="0.3">
      <c r="A41" t="s">
        <v>66</v>
      </c>
      <c r="B41" t="s">
        <v>888</v>
      </c>
      <c r="C41">
        <v>788</v>
      </c>
      <c r="D41">
        <v>4</v>
      </c>
      <c r="E41"/>
      <c r="F41">
        <v>128</v>
      </c>
      <c r="G41">
        <v>108</v>
      </c>
      <c r="H41"/>
      <c r="I41">
        <v>6000</v>
      </c>
      <c r="J41">
        <v>5.8</v>
      </c>
      <c r="K41">
        <v>65</v>
      </c>
      <c r="L41" t="s">
        <v>17</v>
      </c>
      <c r="M41" t="s">
        <v>18</v>
      </c>
      <c r="N41" t="s">
        <v>23</v>
      </c>
      <c r="O41">
        <v>3.6</v>
      </c>
      <c r="P41" t="s">
        <v>20</v>
      </c>
      <c r="Q41">
        <v>2025</v>
      </c>
    </row>
    <row r="42" spans="1:17" hidden="1" x14ac:dyDescent="0.3">
      <c r="A42" t="s">
        <v>29</v>
      </c>
      <c r="B42" t="s">
        <v>901</v>
      </c>
      <c r="C42">
        <v>1429</v>
      </c>
      <c r="D42">
        <v>4</v>
      </c>
      <c r="E42"/>
      <c r="F42">
        <v>256</v>
      </c>
      <c r="G42">
        <v>50</v>
      </c>
      <c r="H42"/>
      <c r="I42">
        <v>6000</v>
      </c>
      <c r="J42">
        <v>6.7</v>
      </c>
      <c r="K42">
        <v>65</v>
      </c>
      <c r="L42" t="s">
        <v>38</v>
      </c>
      <c r="M42" t="s">
        <v>18</v>
      </c>
      <c r="N42" t="s">
        <v>51</v>
      </c>
      <c r="O42">
        <v>3.6</v>
      </c>
      <c r="P42" t="s">
        <v>46</v>
      </c>
      <c r="Q42">
        <v>2025</v>
      </c>
    </row>
    <row r="43" spans="1:17" hidden="1" x14ac:dyDescent="0.3">
      <c r="A43" t="s">
        <v>21</v>
      </c>
      <c r="B43" t="s">
        <v>102</v>
      </c>
      <c r="C43">
        <v>417</v>
      </c>
      <c r="D43">
        <v>6</v>
      </c>
      <c r="E43"/>
      <c r="F43">
        <v>512</v>
      </c>
      <c r="G43">
        <v>50</v>
      </c>
      <c r="H43"/>
      <c r="I43">
        <v>6000</v>
      </c>
      <c r="J43">
        <v>6.9</v>
      </c>
      <c r="K43">
        <v>120</v>
      </c>
      <c r="L43" t="s">
        <v>17</v>
      </c>
      <c r="M43" t="s">
        <v>18</v>
      </c>
      <c r="N43" t="s">
        <v>31</v>
      </c>
      <c r="O43">
        <v>3.6</v>
      </c>
      <c r="P43" t="s">
        <v>28</v>
      </c>
      <c r="Q43">
        <v>2025</v>
      </c>
    </row>
    <row r="44" spans="1:17" hidden="1" x14ac:dyDescent="0.3">
      <c r="A44" t="s">
        <v>36</v>
      </c>
      <c r="B44" t="s">
        <v>214</v>
      </c>
      <c r="C44">
        <v>1398</v>
      </c>
      <c r="D44">
        <v>6</v>
      </c>
      <c r="E44"/>
      <c r="F44">
        <v>64</v>
      </c>
      <c r="G44">
        <v>50</v>
      </c>
      <c r="H44"/>
      <c r="I44">
        <v>5500</v>
      </c>
      <c r="J44">
        <v>5.8</v>
      </c>
      <c r="K44">
        <v>100</v>
      </c>
      <c r="L44" t="s">
        <v>17</v>
      </c>
      <c r="M44" t="s">
        <v>18</v>
      </c>
      <c r="N44" t="s">
        <v>51</v>
      </c>
      <c r="O44">
        <v>3.6</v>
      </c>
      <c r="P44" t="s">
        <v>56</v>
      </c>
      <c r="Q44">
        <v>2025</v>
      </c>
    </row>
    <row r="45" spans="1:17" hidden="1" x14ac:dyDescent="0.3">
      <c r="A45" t="s">
        <v>32</v>
      </c>
      <c r="B45" t="s">
        <v>312</v>
      </c>
      <c r="C45">
        <v>1233</v>
      </c>
      <c r="D45">
        <v>6</v>
      </c>
      <c r="E45"/>
      <c r="F45">
        <v>128</v>
      </c>
      <c r="G45">
        <v>12</v>
      </c>
      <c r="H45"/>
      <c r="I45">
        <v>4000</v>
      </c>
      <c r="J45">
        <v>5.7</v>
      </c>
      <c r="K45">
        <v>33</v>
      </c>
      <c r="L45" t="s">
        <v>38</v>
      </c>
      <c r="M45" t="s">
        <v>34</v>
      </c>
      <c r="N45" t="s">
        <v>35</v>
      </c>
      <c r="O45">
        <v>3.6</v>
      </c>
      <c r="P45" t="s">
        <v>54</v>
      </c>
      <c r="Q45">
        <v>2025</v>
      </c>
    </row>
    <row r="46" spans="1:17" hidden="1" x14ac:dyDescent="0.3">
      <c r="A46" t="s">
        <v>15</v>
      </c>
      <c r="B46" t="s">
        <v>336</v>
      </c>
      <c r="C46">
        <v>661</v>
      </c>
      <c r="D46">
        <v>6</v>
      </c>
      <c r="E46"/>
      <c r="F46">
        <v>1024</v>
      </c>
      <c r="G46">
        <v>64</v>
      </c>
      <c r="H46"/>
      <c r="I46">
        <v>5000</v>
      </c>
      <c r="J46">
        <v>7.2</v>
      </c>
      <c r="K46">
        <v>100</v>
      </c>
      <c r="L46" t="s">
        <v>17</v>
      </c>
      <c r="M46" t="s">
        <v>18</v>
      </c>
      <c r="N46" t="s">
        <v>48</v>
      </c>
      <c r="O46">
        <v>3.6</v>
      </c>
      <c r="P46" t="s">
        <v>56</v>
      </c>
      <c r="Q46">
        <v>2025</v>
      </c>
    </row>
    <row r="47" spans="1:17" hidden="1" x14ac:dyDescent="0.3">
      <c r="A47" t="s">
        <v>36</v>
      </c>
      <c r="B47" t="s">
        <v>408</v>
      </c>
      <c r="C47">
        <v>168</v>
      </c>
      <c r="D47">
        <v>6</v>
      </c>
      <c r="E47"/>
      <c r="F47">
        <v>64</v>
      </c>
      <c r="G47">
        <v>64</v>
      </c>
      <c r="H47"/>
      <c r="I47">
        <v>5000</v>
      </c>
      <c r="J47">
        <v>6</v>
      </c>
      <c r="K47">
        <v>44</v>
      </c>
      <c r="L47" t="s">
        <v>17</v>
      </c>
      <c r="M47" t="s">
        <v>18</v>
      </c>
      <c r="N47" t="s">
        <v>19</v>
      </c>
      <c r="O47">
        <v>3.6</v>
      </c>
      <c r="P47" t="s">
        <v>44</v>
      </c>
      <c r="Q47">
        <v>2025</v>
      </c>
    </row>
    <row r="48" spans="1:17" hidden="1" x14ac:dyDescent="0.3">
      <c r="A48" t="s">
        <v>29</v>
      </c>
      <c r="B48" t="s">
        <v>415</v>
      </c>
      <c r="C48">
        <v>1373</v>
      </c>
      <c r="D48">
        <v>6</v>
      </c>
      <c r="E48"/>
      <c r="F48">
        <v>256</v>
      </c>
      <c r="G48">
        <v>48</v>
      </c>
      <c r="H48"/>
      <c r="I48">
        <v>6000</v>
      </c>
      <c r="J48">
        <v>7</v>
      </c>
      <c r="K48">
        <v>33</v>
      </c>
      <c r="L48" t="s">
        <v>17</v>
      </c>
      <c r="M48" t="s">
        <v>18</v>
      </c>
      <c r="N48" t="s">
        <v>61</v>
      </c>
      <c r="O48">
        <v>3.6</v>
      </c>
      <c r="P48" t="s">
        <v>39</v>
      </c>
      <c r="Q48">
        <v>2025</v>
      </c>
    </row>
    <row r="49" spans="1:17" hidden="1" x14ac:dyDescent="0.3">
      <c r="A49" t="s">
        <v>29</v>
      </c>
      <c r="B49" t="s">
        <v>451</v>
      </c>
      <c r="C49">
        <v>371</v>
      </c>
      <c r="D49">
        <v>6</v>
      </c>
      <c r="E49"/>
      <c r="F49">
        <v>64</v>
      </c>
      <c r="G49">
        <v>200</v>
      </c>
      <c r="H49"/>
      <c r="I49">
        <v>5500</v>
      </c>
      <c r="J49">
        <v>5.7</v>
      </c>
      <c r="K49">
        <v>100</v>
      </c>
      <c r="L49" t="s">
        <v>17</v>
      </c>
      <c r="M49" t="s">
        <v>18</v>
      </c>
      <c r="N49" t="s">
        <v>48</v>
      </c>
      <c r="O49">
        <v>3.6</v>
      </c>
      <c r="P49" t="s">
        <v>64</v>
      </c>
      <c r="Q49">
        <v>2025</v>
      </c>
    </row>
    <row r="50" spans="1:17" hidden="1" x14ac:dyDescent="0.3">
      <c r="A50" t="s">
        <v>32</v>
      </c>
      <c r="B50" t="s">
        <v>453</v>
      </c>
      <c r="C50">
        <v>336</v>
      </c>
      <c r="D50">
        <v>6</v>
      </c>
      <c r="E50"/>
      <c r="F50">
        <v>64</v>
      </c>
      <c r="G50">
        <v>200</v>
      </c>
      <c r="H50"/>
      <c r="I50">
        <v>5000</v>
      </c>
      <c r="J50">
        <v>5.6</v>
      </c>
      <c r="K50">
        <v>33</v>
      </c>
      <c r="L50" t="s">
        <v>38</v>
      </c>
      <c r="M50" t="s">
        <v>34</v>
      </c>
      <c r="N50" t="s">
        <v>31</v>
      </c>
      <c r="O50">
        <v>3.6</v>
      </c>
      <c r="P50" t="s">
        <v>42</v>
      </c>
      <c r="Q50">
        <v>2025</v>
      </c>
    </row>
    <row r="51" spans="1:17" hidden="1" x14ac:dyDescent="0.3">
      <c r="A51" t="s">
        <v>36</v>
      </c>
      <c r="B51" t="s">
        <v>482</v>
      </c>
      <c r="C51">
        <v>1365</v>
      </c>
      <c r="D51">
        <v>6</v>
      </c>
      <c r="E51"/>
      <c r="F51">
        <v>128</v>
      </c>
      <c r="G51">
        <v>50</v>
      </c>
      <c r="H51"/>
      <c r="I51">
        <v>5500</v>
      </c>
      <c r="J51">
        <v>6.7</v>
      </c>
      <c r="K51">
        <v>65</v>
      </c>
      <c r="L51" t="s">
        <v>38</v>
      </c>
      <c r="M51" t="s">
        <v>18</v>
      </c>
      <c r="N51" t="s">
        <v>61</v>
      </c>
      <c r="O51">
        <v>3.6</v>
      </c>
      <c r="P51" t="s">
        <v>54</v>
      </c>
      <c r="Q51">
        <v>2025</v>
      </c>
    </row>
    <row r="52" spans="1:17" hidden="1" x14ac:dyDescent="0.3">
      <c r="A52" t="s">
        <v>66</v>
      </c>
      <c r="B52" t="s">
        <v>511</v>
      </c>
      <c r="C52">
        <v>531</v>
      </c>
      <c r="D52">
        <v>6</v>
      </c>
      <c r="E52"/>
      <c r="F52">
        <v>1024</v>
      </c>
      <c r="G52">
        <v>48</v>
      </c>
      <c r="H52"/>
      <c r="I52">
        <v>4000</v>
      </c>
      <c r="J52">
        <v>5.5</v>
      </c>
      <c r="K52">
        <v>44</v>
      </c>
      <c r="L52" t="s">
        <v>17</v>
      </c>
      <c r="M52" t="s">
        <v>18</v>
      </c>
      <c r="N52" t="s">
        <v>27</v>
      </c>
      <c r="O52">
        <v>3.6</v>
      </c>
      <c r="P52" t="s">
        <v>28</v>
      </c>
      <c r="Q52">
        <v>2025</v>
      </c>
    </row>
    <row r="53" spans="1:17" hidden="1" x14ac:dyDescent="0.3">
      <c r="A53" t="s">
        <v>29</v>
      </c>
      <c r="B53" t="s">
        <v>600</v>
      </c>
      <c r="C53">
        <v>151</v>
      </c>
      <c r="D53">
        <v>6</v>
      </c>
      <c r="E53"/>
      <c r="F53">
        <v>512</v>
      </c>
      <c r="G53">
        <v>108</v>
      </c>
      <c r="H53"/>
      <c r="I53">
        <v>4500</v>
      </c>
      <c r="J53">
        <v>6.1</v>
      </c>
      <c r="K53">
        <v>100</v>
      </c>
      <c r="L53" t="s">
        <v>38</v>
      </c>
      <c r="M53" t="s">
        <v>18</v>
      </c>
      <c r="N53" t="s">
        <v>51</v>
      </c>
      <c r="O53">
        <v>3.6</v>
      </c>
      <c r="P53" t="s">
        <v>71</v>
      </c>
      <c r="Q53">
        <v>2025</v>
      </c>
    </row>
    <row r="54" spans="1:17" hidden="1" x14ac:dyDescent="0.3">
      <c r="A54" t="s">
        <v>66</v>
      </c>
      <c r="B54" t="s">
        <v>738</v>
      </c>
      <c r="C54">
        <v>821</v>
      </c>
      <c r="D54">
        <v>6</v>
      </c>
      <c r="E54"/>
      <c r="F54">
        <v>512</v>
      </c>
      <c r="G54">
        <v>200</v>
      </c>
      <c r="H54"/>
      <c r="I54">
        <v>5500</v>
      </c>
      <c r="J54">
        <v>6.3</v>
      </c>
      <c r="K54">
        <v>100</v>
      </c>
      <c r="L54" t="s">
        <v>38</v>
      </c>
      <c r="M54" t="s">
        <v>18</v>
      </c>
      <c r="N54" t="s">
        <v>48</v>
      </c>
      <c r="O54">
        <v>3.6</v>
      </c>
      <c r="P54" t="s">
        <v>82</v>
      </c>
      <c r="Q54">
        <v>2025</v>
      </c>
    </row>
    <row r="55" spans="1:17" hidden="1" x14ac:dyDescent="0.3">
      <c r="A55" t="s">
        <v>40</v>
      </c>
      <c r="B55" t="s">
        <v>793</v>
      </c>
      <c r="C55">
        <v>1267</v>
      </c>
      <c r="D55">
        <v>6</v>
      </c>
      <c r="E55"/>
      <c r="F55">
        <v>512</v>
      </c>
      <c r="G55">
        <v>64</v>
      </c>
      <c r="H55"/>
      <c r="I55">
        <v>5500</v>
      </c>
      <c r="J55">
        <v>6.5</v>
      </c>
      <c r="K55">
        <v>65</v>
      </c>
      <c r="L55" t="s">
        <v>17</v>
      </c>
      <c r="M55" t="s">
        <v>18</v>
      </c>
      <c r="N55" t="s">
        <v>51</v>
      </c>
      <c r="O55">
        <v>3.6</v>
      </c>
      <c r="P55" t="s">
        <v>44</v>
      </c>
      <c r="Q55">
        <v>2025</v>
      </c>
    </row>
    <row r="56" spans="1:17" hidden="1" x14ac:dyDescent="0.3">
      <c r="A56" t="s">
        <v>36</v>
      </c>
      <c r="B56" t="s">
        <v>870</v>
      </c>
      <c r="C56">
        <v>679</v>
      </c>
      <c r="D56">
        <v>6</v>
      </c>
      <c r="E56"/>
      <c r="F56">
        <v>128</v>
      </c>
      <c r="G56">
        <v>64</v>
      </c>
      <c r="H56"/>
      <c r="I56">
        <v>5500</v>
      </c>
      <c r="J56">
        <v>6.3</v>
      </c>
      <c r="K56">
        <v>120</v>
      </c>
      <c r="L56" t="s">
        <v>38</v>
      </c>
      <c r="M56" t="s">
        <v>18</v>
      </c>
      <c r="N56" t="s">
        <v>31</v>
      </c>
      <c r="O56">
        <v>3.6</v>
      </c>
      <c r="P56" t="s">
        <v>20</v>
      </c>
      <c r="Q56">
        <v>2025</v>
      </c>
    </row>
    <row r="57" spans="1:17" hidden="1" x14ac:dyDescent="0.3">
      <c r="A57" t="s">
        <v>21</v>
      </c>
      <c r="B57" t="s">
        <v>885</v>
      </c>
      <c r="C57">
        <v>1111</v>
      </c>
      <c r="D57">
        <v>6</v>
      </c>
      <c r="E57"/>
      <c r="F57">
        <v>256</v>
      </c>
      <c r="G57">
        <v>108</v>
      </c>
      <c r="H57"/>
      <c r="I57">
        <v>5500</v>
      </c>
      <c r="J57">
        <v>6.4</v>
      </c>
      <c r="K57">
        <v>65</v>
      </c>
      <c r="L57" t="s">
        <v>17</v>
      </c>
      <c r="M57" t="s">
        <v>18</v>
      </c>
      <c r="N57" t="s">
        <v>35</v>
      </c>
      <c r="O57">
        <v>3.6</v>
      </c>
      <c r="P57" t="s">
        <v>82</v>
      </c>
      <c r="Q57">
        <v>2025</v>
      </c>
    </row>
    <row r="58" spans="1:17" hidden="1" x14ac:dyDescent="0.3">
      <c r="A58" t="s">
        <v>40</v>
      </c>
      <c r="B58" t="s">
        <v>906</v>
      </c>
      <c r="C58">
        <v>515</v>
      </c>
      <c r="D58">
        <v>6</v>
      </c>
      <c r="E58"/>
      <c r="F58">
        <v>256</v>
      </c>
      <c r="G58">
        <v>64</v>
      </c>
      <c r="H58"/>
      <c r="I58">
        <v>6000</v>
      </c>
      <c r="J58">
        <v>5.9</v>
      </c>
      <c r="K58">
        <v>33</v>
      </c>
      <c r="L58" t="s">
        <v>17</v>
      </c>
      <c r="M58" t="s">
        <v>18</v>
      </c>
      <c r="N58" t="s">
        <v>51</v>
      </c>
      <c r="O58">
        <v>3.6</v>
      </c>
      <c r="P58" t="s">
        <v>71</v>
      </c>
      <c r="Q58">
        <v>2025</v>
      </c>
    </row>
    <row r="59" spans="1:17" x14ac:dyDescent="0.3">
      <c r="A59" t="s">
        <v>40</v>
      </c>
      <c r="B59" t="s">
        <v>688</v>
      </c>
      <c r="C59">
        <v>1019</v>
      </c>
      <c r="D59">
        <v>4</v>
      </c>
      <c r="E59" s="8">
        <f>C59/D59</f>
        <v>254.75</v>
      </c>
      <c r="F59">
        <v>256</v>
      </c>
      <c r="G59">
        <v>200</v>
      </c>
      <c r="H59" s="8">
        <f>C59/G59</f>
        <v>5.0949999999999998</v>
      </c>
      <c r="I59">
        <v>6000</v>
      </c>
      <c r="J59">
        <v>6.8</v>
      </c>
      <c r="K59">
        <v>18</v>
      </c>
      <c r="L59" t="s">
        <v>38</v>
      </c>
      <c r="M59" t="s">
        <v>18</v>
      </c>
      <c r="N59" t="s">
        <v>51</v>
      </c>
      <c r="O59">
        <v>3.6</v>
      </c>
      <c r="P59" t="s">
        <v>42</v>
      </c>
      <c r="Q59">
        <v>2025</v>
      </c>
    </row>
    <row r="60" spans="1:17" hidden="1" x14ac:dyDescent="0.3">
      <c r="A60" t="s">
        <v>25</v>
      </c>
      <c r="B60" t="s">
        <v>123</v>
      </c>
      <c r="C60">
        <v>651</v>
      </c>
      <c r="D60">
        <v>8</v>
      </c>
      <c r="E60"/>
      <c r="F60">
        <v>1024</v>
      </c>
      <c r="G60">
        <v>64</v>
      </c>
      <c r="H60"/>
      <c r="I60">
        <v>4500</v>
      </c>
      <c r="J60">
        <v>5.7</v>
      </c>
      <c r="K60">
        <v>44</v>
      </c>
      <c r="L60" t="s">
        <v>17</v>
      </c>
      <c r="M60" t="s">
        <v>18</v>
      </c>
      <c r="N60" t="s">
        <v>51</v>
      </c>
      <c r="O60">
        <v>3.6</v>
      </c>
      <c r="P60" t="s">
        <v>54</v>
      </c>
      <c r="Q60">
        <v>2025</v>
      </c>
    </row>
    <row r="61" spans="1:17" hidden="1" x14ac:dyDescent="0.3">
      <c r="A61" t="s">
        <v>40</v>
      </c>
      <c r="B61" t="s">
        <v>172</v>
      </c>
      <c r="C61">
        <v>1258</v>
      </c>
      <c r="D61">
        <v>8</v>
      </c>
      <c r="E61"/>
      <c r="F61">
        <v>64</v>
      </c>
      <c r="G61">
        <v>108</v>
      </c>
      <c r="H61"/>
      <c r="I61">
        <v>4500</v>
      </c>
      <c r="J61">
        <v>6.4</v>
      </c>
      <c r="K61">
        <v>65</v>
      </c>
      <c r="L61" t="s">
        <v>17</v>
      </c>
      <c r="M61" t="s">
        <v>18</v>
      </c>
      <c r="N61" t="s">
        <v>51</v>
      </c>
      <c r="O61">
        <v>3.6</v>
      </c>
      <c r="P61" t="s">
        <v>44</v>
      </c>
      <c r="Q61">
        <v>2025</v>
      </c>
    </row>
    <row r="62" spans="1:17" hidden="1" x14ac:dyDescent="0.3">
      <c r="A62" t="s">
        <v>66</v>
      </c>
      <c r="B62" t="s">
        <v>634</v>
      </c>
      <c r="C62">
        <v>709</v>
      </c>
      <c r="D62">
        <v>12</v>
      </c>
      <c r="E62" s="8">
        <f>C62/D62</f>
        <v>59.083333333333336</v>
      </c>
      <c r="F62">
        <v>512</v>
      </c>
      <c r="G62">
        <v>108</v>
      </c>
      <c r="H62" s="8">
        <f>C62/G62</f>
        <v>6.5648148148148149</v>
      </c>
      <c r="I62">
        <v>5000</v>
      </c>
      <c r="J62">
        <v>5.7</v>
      </c>
      <c r="K62">
        <v>33</v>
      </c>
      <c r="L62" t="s">
        <v>17</v>
      </c>
      <c r="M62" t="s">
        <v>18</v>
      </c>
      <c r="N62" t="s">
        <v>27</v>
      </c>
      <c r="O62">
        <v>3.6</v>
      </c>
      <c r="P62" t="s">
        <v>71</v>
      </c>
      <c r="Q62">
        <v>2025</v>
      </c>
    </row>
    <row r="63" spans="1:17" hidden="1" x14ac:dyDescent="0.3">
      <c r="A63" t="s">
        <v>29</v>
      </c>
      <c r="B63" t="s">
        <v>320</v>
      </c>
      <c r="C63">
        <v>886</v>
      </c>
      <c r="D63">
        <v>8</v>
      </c>
      <c r="E63"/>
      <c r="F63">
        <v>1024</v>
      </c>
      <c r="G63">
        <v>12</v>
      </c>
      <c r="H63"/>
      <c r="I63">
        <v>5000</v>
      </c>
      <c r="J63">
        <v>6.7</v>
      </c>
      <c r="K63">
        <v>100</v>
      </c>
      <c r="L63" t="s">
        <v>17</v>
      </c>
      <c r="M63" t="s">
        <v>18</v>
      </c>
      <c r="N63" t="s">
        <v>51</v>
      </c>
      <c r="O63">
        <v>3.6</v>
      </c>
      <c r="P63" t="s">
        <v>46</v>
      </c>
      <c r="Q63">
        <v>2025</v>
      </c>
    </row>
    <row r="64" spans="1:17" hidden="1" x14ac:dyDescent="0.3">
      <c r="A64" t="s">
        <v>25</v>
      </c>
      <c r="B64" t="s">
        <v>473</v>
      </c>
      <c r="C64">
        <v>577</v>
      </c>
      <c r="D64">
        <v>8</v>
      </c>
      <c r="E64"/>
      <c r="F64">
        <v>1024</v>
      </c>
      <c r="G64">
        <v>108</v>
      </c>
      <c r="H64"/>
      <c r="I64">
        <v>5500</v>
      </c>
      <c r="J64">
        <v>6.3</v>
      </c>
      <c r="K64">
        <v>100</v>
      </c>
      <c r="L64" t="s">
        <v>38</v>
      </c>
      <c r="M64" t="s">
        <v>18</v>
      </c>
      <c r="N64" t="s">
        <v>23</v>
      </c>
      <c r="O64">
        <v>3.6</v>
      </c>
      <c r="P64" t="s">
        <v>56</v>
      </c>
      <c r="Q64">
        <v>2025</v>
      </c>
    </row>
    <row r="65" spans="1:17" hidden="1" x14ac:dyDescent="0.3">
      <c r="A65" t="s">
        <v>49</v>
      </c>
      <c r="B65" t="s">
        <v>535</v>
      </c>
      <c r="C65">
        <v>811</v>
      </c>
      <c r="D65">
        <v>8</v>
      </c>
      <c r="E65"/>
      <c r="F65">
        <v>128</v>
      </c>
      <c r="G65">
        <v>200</v>
      </c>
      <c r="H65"/>
      <c r="I65">
        <v>6000</v>
      </c>
      <c r="J65">
        <v>5.7</v>
      </c>
      <c r="K65">
        <v>120</v>
      </c>
      <c r="L65" t="s">
        <v>38</v>
      </c>
      <c r="M65" t="s">
        <v>18</v>
      </c>
      <c r="N65" t="s">
        <v>61</v>
      </c>
      <c r="O65">
        <v>3.6</v>
      </c>
      <c r="P65" t="s">
        <v>39</v>
      </c>
      <c r="Q65">
        <v>2025</v>
      </c>
    </row>
    <row r="66" spans="1:17" hidden="1" x14ac:dyDescent="0.3">
      <c r="A66" t="s">
        <v>66</v>
      </c>
      <c r="B66" t="s">
        <v>653</v>
      </c>
      <c r="C66">
        <v>777</v>
      </c>
      <c r="D66">
        <v>8</v>
      </c>
      <c r="E66"/>
      <c r="F66">
        <v>128</v>
      </c>
      <c r="G66">
        <v>50</v>
      </c>
      <c r="H66"/>
      <c r="I66">
        <v>6000</v>
      </c>
      <c r="J66">
        <v>7.1</v>
      </c>
      <c r="K66">
        <v>120</v>
      </c>
      <c r="L66" t="s">
        <v>38</v>
      </c>
      <c r="M66" t="s">
        <v>18</v>
      </c>
      <c r="N66" t="s">
        <v>35</v>
      </c>
      <c r="O66">
        <v>3.6</v>
      </c>
      <c r="P66" t="s">
        <v>82</v>
      </c>
      <c r="Q66">
        <v>2025</v>
      </c>
    </row>
    <row r="67" spans="1:17" hidden="1" x14ac:dyDescent="0.3">
      <c r="A67" t="s">
        <v>15</v>
      </c>
      <c r="B67" t="s">
        <v>694</v>
      </c>
      <c r="C67">
        <v>186</v>
      </c>
      <c r="D67">
        <v>8</v>
      </c>
      <c r="E67"/>
      <c r="F67">
        <v>512</v>
      </c>
      <c r="G67">
        <v>48</v>
      </c>
      <c r="H67"/>
      <c r="I67">
        <v>6000</v>
      </c>
      <c r="J67">
        <v>6.9</v>
      </c>
      <c r="K67">
        <v>120</v>
      </c>
      <c r="L67" t="s">
        <v>17</v>
      </c>
      <c r="M67" t="s">
        <v>18</v>
      </c>
      <c r="N67" t="s">
        <v>23</v>
      </c>
      <c r="O67">
        <v>3.6</v>
      </c>
      <c r="P67" t="s">
        <v>42</v>
      </c>
      <c r="Q67">
        <v>2025</v>
      </c>
    </row>
    <row r="68" spans="1:17" x14ac:dyDescent="0.3">
      <c r="A68" t="s">
        <v>66</v>
      </c>
      <c r="B68" t="s">
        <v>182</v>
      </c>
      <c r="C68">
        <v>1209</v>
      </c>
      <c r="D68">
        <v>16</v>
      </c>
      <c r="E68" s="8">
        <f>C68/D68</f>
        <v>75.5625</v>
      </c>
      <c r="F68">
        <v>64</v>
      </c>
      <c r="G68">
        <v>48</v>
      </c>
      <c r="H68" s="8">
        <f>C68/G68</f>
        <v>25.1875</v>
      </c>
      <c r="I68">
        <v>5000</v>
      </c>
      <c r="J68">
        <v>6</v>
      </c>
      <c r="K68">
        <v>33</v>
      </c>
      <c r="L68" t="s">
        <v>38</v>
      </c>
      <c r="M68" t="s">
        <v>18</v>
      </c>
      <c r="N68" t="s">
        <v>35</v>
      </c>
      <c r="O68">
        <v>3.6</v>
      </c>
      <c r="P68" t="s">
        <v>64</v>
      </c>
      <c r="Q68">
        <v>2025</v>
      </c>
    </row>
    <row r="69" spans="1:17" hidden="1" x14ac:dyDescent="0.3">
      <c r="A69" t="s">
        <v>40</v>
      </c>
      <c r="B69" t="s">
        <v>808</v>
      </c>
      <c r="C69">
        <v>1241</v>
      </c>
      <c r="D69">
        <v>8</v>
      </c>
      <c r="E69"/>
      <c r="F69">
        <v>128</v>
      </c>
      <c r="G69">
        <v>108</v>
      </c>
      <c r="H69"/>
      <c r="I69">
        <v>5500</v>
      </c>
      <c r="J69">
        <v>6.4</v>
      </c>
      <c r="K69">
        <v>120</v>
      </c>
      <c r="L69" t="s">
        <v>17</v>
      </c>
      <c r="M69" t="s">
        <v>18</v>
      </c>
      <c r="N69" t="s">
        <v>31</v>
      </c>
      <c r="O69">
        <v>3.6</v>
      </c>
      <c r="P69" t="s">
        <v>39</v>
      </c>
      <c r="Q69">
        <v>2025</v>
      </c>
    </row>
    <row r="70" spans="1:17" hidden="1" x14ac:dyDescent="0.3">
      <c r="A70" t="s">
        <v>40</v>
      </c>
      <c r="B70" t="s">
        <v>951</v>
      </c>
      <c r="C70">
        <v>413</v>
      </c>
      <c r="D70">
        <v>8</v>
      </c>
      <c r="E70"/>
      <c r="F70">
        <v>64</v>
      </c>
      <c r="G70">
        <v>48</v>
      </c>
      <c r="H70"/>
      <c r="I70">
        <v>4500</v>
      </c>
      <c r="J70">
        <v>6.5</v>
      </c>
      <c r="K70">
        <v>33</v>
      </c>
      <c r="L70" t="s">
        <v>17</v>
      </c>
      <c r="M70" t="s">
        <v>18</v>
      </c>
      <c r="N70" t="s">
        <v>31</v>
      </c>
      <c r="O70">
        <v>3.6</v>
      </c>
      <c r="P70" t="s">
        <v>71</v>
      </c>
      <c r="Q70">
        <v>2025</v>
      </c>
    </row>
    <row r="71" spans="1:17" hidden="1" x14ac:dyDescent="0.3">
      <c r="A71" t="s">
        <v>49</v>
      </c>
      <c r="B71" t="s">
        <v>961</v>
      </c>
      <c r="C71">
        <v>355</v>
      </c>
      <c r="D71">
        <v>8</v>
      </c>
      <c r="E71"/>
      <c r="F71">
        <v>512</v>
      </c>
      <c r="G71">
        <v>200</v>
      </c>
      <c r="H71"/>
      <c r="I71">
        <v>4000</v>
      </c>
      <c r="J71">
        <v>6.4</v>
      </c>
      <c r="K71">
        <v>33</v>
      </c>
      <c r="L71" t="s">
        <v>38</v>
      </c>
      <c r="M71" t="s">
        <v>18</v>
      </c>
      <c r="N71" t="s">
        <v>61</v>
      </c>
      <c r="O71">
        <v>3.6</v>
      </c>
      <c r="P71" t="s">
        <v>20</v>
      </c>
      <c r="Q71">
        <v>2025</v>
      </c>
    </row>
    <row r="72" spans="1:17" hidden="1" x14ac:dyDescent="0.3">
      <c r="A72" t="s">
        <v>66</v>
      </c>
      <c r="B72" t="s">
        <v>979</v>
      </c>
      <c r="C72">
        <v>515</v>
      </c>
      <c r="D72">
        <v>8</v>
      </c>
      <c r="E72"/>
      <c r="F72">
        <v>1024</v>
      </c>
      <c r="G72">
        <v>12</v>
      </c>
      <c r="H72"/>
      <c r="I72">
        <v>4000</v>
      </c>
      <c r="J72">
        <v>6</v>
      </c>
      <c r="K72">
        <v>18</v>
      </c>
      <c r="L72" t="s">
        <v>38</v>
      </c>
      <c r="M72" t="s">
        <v>18</v>
      </c>
      <c r="N72" t="s">
        <v>27</v>
      </c>
      <c r="O72">
        <v>3.6</v>
      </c>
      <c r="P72" t="s">
        <v>46</v>
      </c>
      <c r="Q72">
        <v>2025</v>
      </c>
    </row>
    <row r="73" spans="1:17" hidden="1" x14ac:dyDescent="0.3">
      <c r="A73" t="s">
        <v>25</v>
      </c>
      <c r="B73" t="s">
        <v>1006</v>
      </c>
      <c r="C73">
        <v>471</v>
      </c>
      <c r="D73">
        <v>8</v>
      </c>
      <c r="E73"/>
      <c r="F73">
        <v>1024</v>
      </c>
      <c r="G73">
        <v>50</v>
      </c>
      <c r="H73"/>
      <c r="I73">
        <v>5500</v>
      </c>
      <c r="J73">
        <v>7.1</v>
      </c>
      <c r="K73">
        <v>18</v>
      </c>
      <c r="L73" t="s">
        <v>17</v>
      </c>
      <c r="M73" t="s">
        <v>18</v>
      </c>
      <c r="N73" t="s">
        <v>48</v>
      </c>
      <c r="O73">
        <v>3.6</v>
      </c>
      <c r="P73" t="s">
        <v>24</v>
      </c>
      <c r="Q73">
        <v>2025</v>
      </c>
    </row>
    <row r="74" spans="1:17" hidden="1" x14ac:dyDescent="0.3">
      <c r="A74" t="s">
        <v>36</v>
      </c>
      <c r="B74" t="s">
        <v>95</v>
      </c>
      <c r="C74">
        <v>1497</v>
      </c>
      <c r="D74">
        <v>12</v>
      </c>
      <c r="E74"/>
      <c r="F74">
        <v>256</v>
      </c>
      <c r="G74">
        <v>64</v>
      </c>
      <c r="H74"/>
      <c r="I74">
        <v>4000</v>
      </c>
      <c r="J74">
        <v>5.7</v>
      </c>
      <c r="K74">
        <v>18</v>
      </c>
      <c r="L74" t="s">
        <v>17</v>
      </c>
      <c r="M74" t="s">
        <v>18</v>
      </c>
      <c r="N74" t="s">
        <v>31</v>
      </c>
      <c r="O74">
        <v>3.6</v>
      </c>
      <c r="P74" t="s">
        <v>42</v>
      </c>
      <c r="Q74">
        <v>2025</v>
      </c>
    </row>
    <row r="75" spans="1:17" hidden="1" x14ac:dyDescent="0.3">
      <c r="A75" t="s">
        <v>25</v>
      </c>
      <c r="B75" t="s">
        <v>200</v>
      </c>
      <c r="C75">
        <v>754</v>
      </c>
      <c r="D75">
        <v>12</v>
      </c>
      <c r="E75"/>
      <c r="F75">
        <v>512</v>
      </c>
      <c r="G75">
        <v>108</v>
      </c>
      <c r="H75"/>
      <c r="I75">
        <v>6000</v>
      </c>
      <c r="J75">
        <v>6</v>
      </c>
      <c r="K75">
        <v>120</v>
      </c>
      <c r="L75" t="s">
        <v>17</v>
      </c>
      <c r="M75" t="s">
        <v>18</v>
      </c>
      <c r="N75" t="s">
        <v>35</v>
      </c>
      <c r="O75">
        <v>3.6</v>
      </c>
      <c r="P75" t="s">
        <v>20</v>
      </c>
      <c r="Q75">
        <v>2025</v>
      </c>
    </row>
    <row r="76" spans="1:17" hidden="1" x14ac:dyDescent="0.3">
      <c r="A76" t="s">
        <v>29</v>
      </c>
      <c r="B76" t="s">
        <v>229</v>
      </c>
      <c r="C76">
        <v>776</v>
      </c>
      <c r="D76">
        <v>12</v>
      </c>
      <c r="E76"/>
      <c r="F76">
        <v>512</v>
      </c>
      <c r="G76">
        <v>48</v>
      </c>
      <c r="H76"/>
      <c r="I76">
        <v>4500</v>
      </c>
      <c r="J76">
        <v>6.5</v>
      </c>
      <c r="K76">
        <v>65</v>
      </c>
      <c r="L76" t="s">
        <v>17</v>
      </c>
      <c r="M76" t="s">
        <v>18</v>
      </c>
      <c r="N76" t="s">
        <v>23</v>
      </c>
      <c r="O76">
        <v>3.6</v>
      </c>
      <c r="P76" t="s">
        <v>20</v>
      </c>
      <c r="Q76">
        <v>2025</v>
      </c>
    </row>
    <row r="77" spans="1:17" hidden="1" x14ac:dyDescent="0.3">
      <c r="A77" t="s">
        <v>36</v>
      </c>
      <c r="B77" t="s">
        <v>300</v>
      </c>
      <c r="C77">
        <v>1317</v>
      </c>
      <c r="D77">
        <v>12</v>
      </c>
      <c r="E77"/>
      <c r="F77">
        <v>512</v>
      </c>
      <c r="G77">
        <v>12</v>
      </c>
      <c r="H77"/>
      <c r="I77">
        <v>4000</v>
      </c>
      <c r="J77">
        <v>6.5</v>
      </c>
      <c r="K77">
        <v>44</v>
      </c>
      <c r="L77" t="s">
        <v>17</v>
      </c>
      <c r="M77" t="s">
        <v>18</v>
      </c>
      <c r="N77" t="s">
        <v>61</v>
      </c>
      <c r="O77">
        <v>3.6</v>
      </c>
      <c r="P77" t="s">
        <v>82</v>
      </c>
      <c r="Q77">
        <v>2025</v>
      </c>
    </row>
    <row r="78" spans="1:17" hidden="1" x14ac:dyDescent="0.3">
      <c r="A78" t="s">
        <v>25</v>
      </c>
      <c r="B78" t="s">
        <v>1020</v>
      </c>
      <c r="C78">
        <v>909</v>
      </c>
      <c r="D78">
        <v>6</v>
      </c>
      <c r="E78" s="8">
        <f>C78/D78</f>
        <v>151.5</v>
      </c>
      <c r="F78">
        <v>256</v>
      </c>
      <c r="G78">
        <v>108</v>
      </c>
      <c r="H78" s="8">
        <f>C78/G78</f>
        <v>8.4166666666666661</v>
      </c>
      <c r="I78">
        <v>4000</v>
      </c>
      <c r="J78">
        <v>6.7</v>
      </c>
      <c r="K78">
        <v>44</v>
      </c>
      <c r="L78" t="s">
        <v>17</v>
      </c>
      <c r="M78" t="s">
        <v>18</v>
      </c>
      <c r="N78" t="s">
        <v>23</v>
      </c>
      <c r="O78">
        <v>3.6</v>
      </c>
      <c r="P78" t="s">
        <v>28</v>
      </c>
      <c r="Q78">
        <v>2025</v>
      </c>
    </row>
    <row r="79" spans="1:17" hidden="1" x14ac:dyDescent="0.3">
      <c r="A79" t="s">
        <v>32</v>
      </c>
      <c r="B79" t="s">
        <v>395</v>
      </c>
      <c r="C79">
        <v>715</v>
      </c>
      <c r="D79">
        <v>12</v>
      </c>
      <c r="E79"/>
      <c r="F79">
        <v>1024</v>
      </c>
      <c r="G79">
        <v>64</v>
      </c>
      <c r="H79"/>
      <c r="I79">
        <v>4000</v>
      </c>
      <c r="J79">
        <v>5.9</v>
      </c>
      <c r="K79">
        <v>18</v>
      </c>
      <c r="L79" t="s">
        <v>17</v>
      </c>
      <c r="M79" t="s">
        <v>34</v>
      </c>
      <c r="N79" t="s">
        <v>61</v>
      </c>
      <c r="O79">
        <v>3.6</v>
      </c>
      <c r="P79" t="s">
        <v>42</v>
      </c>
      <c r="Q79">
        <v>2025</v>
      </c>
    </row>
    <row r="80" spans="1:17" hidden="1" x14ac:dyDescent="0.3">
      <c r="A80" t="s">
        <v>32</v>
      </c>
      <c r="B80" t="s">
        <v>410</v>
      </c>
      <c r="C80">
        <v>646</v>
      </c>
      <c r="D80">
        <v>12</v>
      </c>
      <c r="E80"/>
      <c r="F80">
        <v>128</v>
      </c>
      <c r="G80">
        <v>50</v>
      </c>
      <c r="H80"/>
      <c r="I80">
        <v>5000</v>
      </c>
      <c r="J80">
        <v>6.8</v>
      </c>
      <c r="K80">
        <v>120</v>
      </c>
      <c r="L80" t="s">
        <v>38</v>
      </c>
      <c r="M80" t="s">
        <v>34</v>
      </c>
      <c r="N80" t="s">
        <v>19</v>
      </c>
      <c r="O80">
        <v>3.6</v>
      </c>
      <c r="P80" t="s">
        <v>54</v>
      </c>
      <c r="Q80">
        <v>2025</v>
      </c>
    </row>
    <row r="81" spans="1:17" hidden="1" x14ac:dyDescent="0.3">
      <c r="A81" t="s">
        <v>36</v>
      </c>
      <c r="B81" t="s">
        <v>538</v>
      </c>
      <c r="C81">
        <v>184</v>
      </c>
      <c r="D81">
        <v>12</v>
      </c>
      <c r="E81"/>
      <c r="F81">
        <v>1024</v>
      </c>
      <c r="G81">
        <v>108</v>
      </c>
      <c r="H81"/>
      <c r="I81">
        <v>6000</v>
      </c>
      <c r="J81">
        <v>7</v>
      </c>
      <c r="K81">
        <v>65</v>
      </c>
      <c r="L81" t="s">
        <v>38</v>
      </c>
      <c r="M81" t="s">
        <v>18</v>
      </c>
      <c r="N81" t="s">
        <v>48</v>
      </c>
      <c r="O81">
        <v>3.6</v>
      </c>
      <c r="P81" t="s">
        <v>46</v>
      </c>
      <c r="Q81">
        <v>2025</v>
      </c>
    </row>
    <row r="82" spans="1:17" hidden="1" x14ac:dyDescent="0.3">
      <c r="A82" t="s">
        <v>49</v>
      </c>
      <c r="B82" t="s">
        <v>616</v>
      </c>
      <c r="C82">
        <v>753</v>
      </c>
      <c r="D82">
        <v>12</v>
      </c>
      <c r="E82"/>
      <c r="F82">
        <v>1024</v>
      </c>
      <c r="G82">
        <v>48</v>
      </c>
      <c r="H82"/>
      <c r="I82">
        <v>6000</v>
      </c>
      <c r="J82">
        <v>7.1</v>
      </c>
      <c r="K82">
        <v>65</v>
      </c>
      <c r="L82" t="s">
        <v>17</v>
      </c>
      <c r="M82" t="s">
        <v>18</v>
      </c>
      <c r="N82" t="s">
        <v>35</v>
      </c>
      <c r="O82">
        <v>3.6</v>
      </c>
      <c r="P82" t="s">
        <v>20</v>
      </c>
      <c r="Q82">
        <v>2025</v>
      </c>
    </row>
    <row r="83" spans="1:17" hidden="1" x14ac:dyDescent="0.3">
      <c r="A83" t="s">
        <v>49</v>
      </c>
      <c r="B83" t="s">
        <v>272</v>
      </c>
      <c r="C83">
        <v>1406</v>
      </c>
      <c r="D83">
        <v>8</v>
      </c>
      <c r="E83" s="8">
        <f t="shared" ref="E83:E84" si="4">C83/D83</f>
        <v>175.75</v>
      </c>
      <c r="F83">
        <v>512</v>
      </c>
      <c r="G83">
        <v>200</v>
      </c>
      <c r="H83" s="8">
        <f t="shared" ref="H83:H84" si="5">C83/G83</f>
        <v>7.03</v>
      </c>
      <c r="I83">
        <v>4500</v>
      </c>
      <c r="J83">
        <v>5.8</v>
      </c>
      <c r="K83">
        <v>65</v>
      </c>
      <c r="L83" t="s">
        <v>17</v>
      </c>
      <c r="M83" t="s">
        <v>18</v>
      </c>
      <c r="N83" t="s">
        <v>27</v>
      </c>
      <c r="O83">
        <v>3.6</v>
      </c>
      <c r="P83" t="s">
        <v>71</v>
      </c>
      <c r="Q83">
        <v>2025</v>
      </c>
    </row>
    <row r="84" spans="1:17" x14ac:dyDescent="0.3">
      <c r="A84" t="s">
        <v>32</v>
      </c>
      <c r="B84" t="s">
        <v>677</v>
      </c>
      <c r="C84">
        <v>1109</v>
      </c>
      <c r="D84">
        <v>12</v>
      </c>
      <c r="E84" s="8">
        <f t="shared" si="4"/>
        <v>92.416666666666671</v>
      </c>
      <c r="F84">
        <v>128</v>
      </c>
      <c r="G84">
        <v>12</v>
      </c>
      <c r="H84" s="8">
        <f t="shared" si="5"/>
        <v>92.416666666666671</v>
      </c>
      <c r="I84">
        <v>5500</v>
      </c>
      <c r="J84">
        <v>6.6</v>
      </c>
      <c r="K84">
        <v>65</v>
      </c>
      <c r="L84" t="s">
        <v>38</v>
      </c>
      <c r="M84" t="s">
        <v>34</v>
      </c>
      <c r="N84" t="s">
        <v>35</v>
      </c>
      <c r="O84">
        <v>3.6</v>
      </c>
      <c r="P84" t="s">
        <v>24</v>
      </c>
      <c r="Q84">
        <v>2025</v>
      </c>
    </row>
    <row r="85" spans="1:17" hidden="1" x14ac:dyDescent="0.3">
      <c r="A85" t="s">
        <v>66</v>
      </c>
      <c r="B85" t="s">
        <v>681</v>
      </c>
      <c r="C85">
        <v>1127</v>
      </c>
      <c r="D85">
        <v>12</v>
      </c>
      <c r="E85"/>
      <c r="F85">
        <v>512</v>
      </c>
      <c r="G85">
        <v>50</v>
      </c>
      <c r="H85"/>
      <c r="I85">
        <v>4000</v>
      </c>
      <c r="J85">
        <v>6.5</v>
      </c>
      <c r="K85">
        <v>33</v>
      </c>
      <c r="L85" t="s">
        <v>38</v>
      </c>
      <c r="M85" t="s">
        <v>18</v>
      </c>
      <c r="N85" t="s">
        <v>27</v>
      </c>
      <c r="O85">
        <v>3.6</v>
      </c>
      <c r="P85" t="s">
        <v>24</v>
      </c>
      <c r="Q85">
        <v>2025</v>
      </c>
    </row>
    <row r="86" spans="1:17" hidden="1" x14ac:dyDescent="0.3">
      <c r="A86" t="s">
        <v>25</v>
      </c>
      <c r="B86" t="s">
        <v>725</v>
      </c>
      <c r="C86">
        <v>1079</v>
      </c>
      <c r="D86">
        <v>12</v>
      </c>
      <c r="E86" s="8">
        <f t="shared" ref="E86:E89" si="6">C86/D86</f>
        <v>89.916666666666671</v>
      </c>
      <c r="F86">
        <v>128</v>
      </c>
      <c r="G86">
        <v>108</v>
      </c>
      <c r="H86" s="8">
        <f t="shared" ref="H86:H89" si="7">C86/G86</f>
        <v>9.9907407407407405</v>
      </c>
      <c r="I86">
        <v>6000</v>
      </c>
      <c r="J86">
        <v>6.6</v>
      </c>
      <c r="K86">
        <v>65</v>
      </c>
      <c r="L86" t="s">
        <v>17</v>
      </c>
      <c r="M86" t="s">
        <v>18</v>
      </c>
      <c r="N86" t="s">
        <v>19</v>
      </c>
      <c r="O86">
        <v>3.6</v>
      </c>
      <c r="P86" t="s">
        <v>46</v>
      </c>
      <c r="Q86">
        <v>2025</v>
      </c>
    </row>
    <row r="87" spans="1:17" hidden="1" x14ac:dyDescent="0.3">
      <c r="A87" t="s">
        <v>36</v>
      </c>
      <c r="B87" t="s">
        <v>853</v>
      </c>
      <c r="C87">
        <v>1300</v>
      </c>
      <c r="D87">
        <v>12</v>
      </c>
      <c r="E87" s="8">
        <f t="shared" si="6"/>
        <v>108.33333333333333</v>
      </c>
      <c r="F87">
        <v>1024</v>
      </c>
      <c r="G87">
        <v>108</v>
      </c>
      <c r="H87" s="8">
        <f t="shared" si="7"/>
        <v>12.037037037037036</v>
      </c>
      <c r="I87">
        <v>4500</v>
      </c>
      <c r="J87">
        <v>6.6</v>
      </c>
      <c r="K87">
        <v>65</v>
      </c>
      <c r="L87" t="s">
        <v>17</v>
      </c>
      <c r="M87" t="s">
        <v>18</v>
      </c>
      <c r="N87" t="s">
        <v>35</v>
      </c>
      <c r="O87">
        <v>3.6</v>
      </c>
      <c r="P87" t="s">
        <v>39</v>
      </c>
      <c r="Q87">
        <v>2025</v>
      </c>
    </row>
    <row r="88" spans="1:17" hidden="1" x14ac:dyDescent="0.3">
      <c r="A88" t="s">
        <v>40</v>
      </c>
      <c r="B88" t="s">
        <v>1021</v>
      </c>
      <c r="C88">
        <v>1100</v>
      </c>
      <c r="D88">
        <v>16</v>
      </c>
      <c r="E88" s="8">
        <f t="shared" si="6"/>
        <v>68.75</v>
      </c>
      <c r="F88">
        <v>64</v>
      </c>
      <c r="G88">
        <v>64</v>
      </c>
      <c r="H88" s="8">
        <f t="shared" si="7"/>
        <v>17.1875</v>
      </c>
      <c r="I88">
        <v>4500</v>
      </c>
      <c r="J88">
        <v>6.1</v>
      </c>
      <c r="K88">
        <v>100</v>
      </c>
      <c r="L88" t="s">
        <v>17</v>
      </c>
      <c r="M88" t="s">
        <v>18</v>
      </c>
      <c r="N88" t="s">
        <v>27</v>
      </c>
      <c r="O88">
        <v>3.6</v>
      </c>
      <c r="P88" t="s">
        <v>24</v>
      </c>
      <c r="Q88">
        <v>2025</v>
      </c>
    </row>
    <row r="89" spans="1:17" x14ac:dyDescent="0.3">
      <c r="A89" t="s">
        <v>36</v>
      </c>
      <c r="B89" t="s">
        <v>521</v>
      </c>
      <c r="C89">
        <v>1061</v>
      </c>
      <c r="D89">
        <v>16</v>
      </c>
      <c r="E89" s="8">
        <f t="shared" si="6"/>
        <v>66.3125</v>
      </c>
      <c r="F89">
        <v>512</v>
      </c>
      <c r="G89">
        <v>108</v>
      </c>
      <c r="H89" s="8">
        <f t="shared" si="7"/>
        <v>9.8240740740740744</v>
      </c>
      <c r="I89">
        <v>4000</v>
      </c>
      <c r="J89">
        <v>6.1</v>
      </c>
      <c r="K89">
        <v>100</v>
      </c>
      <c r="L89" t="s">
        <v>38</v>
      </c>
      <c r="M89" t="s">
        <v>18</v>
      </c>
      <c r="N89" t="s">
        <v>48</v>
      </c>
      <c r="O89">
        <v>3.6</v>
      </c>
      <c r="P89" t="s">
        <v>24</v>
      </c>
      <c r="Q89">
        <v>2025</v>
      </c>
    </row>
    <row r="90" spans="1:17" hidden="1" x14ac:dyDescent="0.3">
      <c r="A90" t="s">
        <v>40</v>
      </c>
      <c r="B90" t="s">
        <v>868</v>
      </c>
      <c r="C90">
        <v>529</v>
      </c>
      <c r="D90">
        <v>12</v>
      </c>
      <c r="E90"/>
      <c r="F90">
        <v>128</v>
      </c>
      <c r="G90">
        <v>50</v>
      </c>
      <c r="H90"/>
      <c r="I90">
        <v>4500</v>
      </c>
      <c r="J90">
        <v>6</v>
      </c>
      <c r="K90">
        <v>120</v>
      </c>
      <c r="L90" t="s">
        <v>38</v>
      </c>
      <c r="M90" t="s">
        <v>18</v>
      </c>
      <c r="N90" t="s">
        <v>61</v>
      </c>
      <c r="O90">
        <v>3.6</v>
      </c>
      <c r="P90" t="s">
        <v>24</v>
      </c>
      <c r="Q90">
        <v>2025</v>
      </c>
    </row>
    <row r="91" spans="1:17" hidden="1" x14ac:dyDescent="0.3">
      <c r="A91" t="s">
        <v>25</v>
      </c>
      <c r="B91" t="s">
        <v>871</v>
      </c>
      <c r="C91">
        <v>1374</v>
      </c>
      <c r="D91">
        <v>12</v>
      </c>
      <c r="E91"/>
      <c r="F91">
        <v>1024</v>
      </c>
      <c r="G91">
        <v>108</v>
      </c>
      <c r="H91"/>
      <c r="I91">
        <v>5000</v>
      </c>
      <c r="J91">
        <v>5.9</v>
      </c>
      <c r="K91">
        <v>44</v>
      </c>
      <c r="L91" t="s">
        <v>17</v>
      </c>
      <c r="M91" t="s">
        <v>18</v>
      </c>
      <c r="N91" t="s">
        <v>35</v>
      </c>
      <c r="O91">
        <v>3.6</v>
      </c>
      <c r="P91" t="s">
        <v>28</v>
      </c>
      <c r="Q91">
        <v>2025</v>
      </c>
    </row>
    <row r="92" spans="1:17" hidden="1" x14ac:dyDescent="0.3">
      <c r="A92" t="s">
        <v>29</v>
      </c>
      <c r="B92" t="s">
        <v>960</v>
      </c>
      <c r="C92">
        <v>1235</v>
      </c>
      <c r="D92">
        <v>12</v>
      </c>
      <c r="E92"/>
      <c r="F92">
        <v>64</v>
      </c>
      <c r="G92">
        <v>108</v>
      </c>
      <c r="H92"/>
      <c r="I92">
        <v>6000</v>
      </c>
      <c r="J92">
        <v>7.1</v>
      </c>
      <c r="K92">
        <v>33</v>
      </c>
      <c r="L92" t="s">
        <v>17</v>
      </c>
      <c r="M92" t="s">
        <v>18</v>
      </c>
      <c r="N92" t="s">
        <v>51</v>
      </c>
      <c r="O92">
        <v>3.6</v>
      </c>
      <c r="P92" t="s">
        <v>54</v>
      </c>
      <c r="Q92">
        <v>2025</v>
      </c>
    </row>
    <row r="93" spans="1:17" hidden="1" x14ac:dyDescent="0.3">
      <c r="A93" t="s">
        <v>40</v>
      </c>
      <c r="B93" t="s">
        <v>97</v>
      </c>
      <c r="C93">
        <v>1286</v>
      </c>
      <c r="D93">
        <v>16</v>
      </c>
      <c r="E93"/>
      <c r="F93">
        <v>64</v>
      </c>
      <c r="G93">
        <v>48</v>
      </c>
      <c r="H93"/>
      <c r="I93">
        <v>5000</v>
      </c>
      <c r="J93">
        <v>6</v>
      </c>
      <c r="K93">
        <v>18</v>
      </c>
      <c r="L93" t="s">
        <v>38</v>
      </c>
      <c r="M93" t="s">
        <v>18</v>
      </c>
      <c r="N93" t="s">
        <v>35</v>
      </c>
      <c r="O93">
        <v>3.6</v>
      </c>
      <c r="P93" t="s">
        <v>82</v>
      </c>
      <c r="Q93">
        <v>2025</v>
      </c>
    </row>
    <row r="94" spans="1:17" hidden="1" x14ac:dyDescent="0.3">
      <c r="A94" t="s">
        <v>15</v>
      </c>
      <c r="B94" t="s">
        <v>113</v>
      </c>
      <c r="C94">
        <v>681</v>
      </c>
      <c r="D94">
        <v>16</v>
      </c>
      <c r="E94"/>
      <c r="F94">
        <v>1024</v>
      </c>
      <c r="G94">
        <v>200</v>
      </c>
      <c r="H94"/>
      <c r="I94">
        <v>5500</v>
      </c>
      <c r="J94">
        <v>6.7</v>
      </c>
      <c r="K94">
        <v>44</v>
      </c>
      <c r="L94" t="s">
        <v>17</v>
      </c>
      <c r="M94" t="s">
        <v>18</v>
      </c>
      <c r="N94" t="s">
        <v>51</v>
      </c>
      <c r="O94">
        <v>3.6</v>
      </c>
      <c r="P94" t="s">
        <v>56</v>
      </c>
      <c r="Q94">
        <v>2025</v>
      </c>
    </row>
    <row r="95" spans="1:17" x14ac:dyDescent="0.3">
      <c r="A95" t="s">
        <v>29</v>
      </c>
      <c r="B95" t="s">
        <v>792</v>
      </c>
      <c r="C95">
        <v>640</v>
      </c>
      <c r="D95">
        <v>8</v>
      </c>
      <c r="E95" s="8">
        <f>C95/D95</f>
        <v>80</v>
      </c>
      <c r="F95">
        <v>64</v>
      </c>
      <c r="G95">
        <v>64</v>
      </c>
      <c r="H95" s="8">
        <f>C95/G95</f>
        <v>10</v>
      </c>
      <c r="I95">
        <v>6000</v>
      </c>
      <c r="J95">
        <v>6.4</v>
      </c>
      <c r="K95">
        <v>100</v>
      </c>
      <c r="L95" t="s">
        <v>38</v>
      </c>
      <c r="M95" t="s">
        <v>18</v>
      </c>
      <c r="N95" t="s">
        <v>61</v>
      </c>
      <c r="O95">
        <v>3.6</v>
      </c>
      <c r="P95" t="s">
        <v>71</v>
      </c>
      <c r="Q95">
        <v>2025</v>
      </c>
    </row>
    <row r="96" spans="1:17" hidden="1" x14ac:dyDescent="0.3">
      <c r="A96" t="s">
        <v>36</v>
      </c>
      <c r="B96" t="s">
        <v>231</v>
      </c>
      <c r="C96">
        <v>637</v>
      </c>
      <c r="D96">
        <v>16</v>
      </c>
      <c r="E96"/>
      <c r="F96">
        <v>1024</v>
      </c>
      <c r="G96">
        <v>48</v>
      </c>
      <c r="H96"/>
      <c r="I96">
        <v>4500</v>
      </c>
      <c r="J96">
        <v>7</v>
      </c>
      <c r="K96">
        <v>100</v>
      </c>
      <c r="L96" t="s">
        <v>17</v>
      </c>
      <c r="M96" t="s">
        <v>18</v>
      </c>
      <c r="N96" t="s">
        <v>35</v>
      </c>
      <c r="O96">
        <v>3.6</v>
      </c>
      <c r="P96" t="s">
        <v>20</v>
      </c>
      <c r="Q96">
        <v>2025</v>
      </c>
    </row>
    <row r="97" spans="1:17" hidden="1" x14ac:dyDescent="0.3">
      <c r="A97" t="s">
        <v>66</v>
      </c>
      <c r="B97" t="s">
        <v>490</v>
      </c>
      <c r="C97">
        <v>419</v>
      </c>
      <c r="D97">
        <v>16</v>
      </c>
      <c r="E97"/>
      <c r="F97">
        <v>512</v>
      </c>
      <c r="G97">
        <v>12</v>
      </c>
      <c r="H97"/>
      <c r="I97">
        <v>6000</v>
      </c>
      <c r="J97">
        <v>6.3</v>
      </c>
      <c r="K97">
        <v>100</v>
      </c>
      <c r="L97" t="s">
        <v>38</v>
      </c>
      <c r="M97" t="s">
        <v>18</v>
      </c>
      <c r="N97" t="s">
        <v>61</v>
      </c>
      <c r="O97">
        <v>3.6</v>
      </c>
      <c r="P97" t="s">
        <v>42</v>
      </c>
      <c r="Q97">
        <v>2025</v>
      </c>
    </row>
    <row r="98" spans="1:17" hidden="1" x14ac:dyDescent="0.3">
      <c r="A98" t="s">
        <v>40</v>
      </c>
      <c r="B98" t="s">
        <v>492</v>
      </c>
      <c r="C98">
        <v>852</v>
      </c>
      <c r="D98">
        <v>16</v>
      </c>
      <c r="E98"/>
      <c r="F98">
        <v>64</v>
      </c>
      <c r="G98">
        <v>64</v>
      </c>
      <c r="H98"/>
      <c r="I98">
        <v>5500</v>
      </c>
      <c r="J98">
        <v>6.9</v>
      </c>
      <c r="K98">
        <v>100</v>
      </c>
      <c r="L98" t="s">
        <v>38</v>
      </c>
      <c r="M98" t="s">
        <v>18</v>
      </c>
      <c r="N98" t="s">
        <v>27</v>
      </c>
      <c r="O98">
        <v>3.6</v>
      </c>
      <c r="P98" t="s">
        <v>24</v>
      </c>
      <c r="Q98">
        <v>2025</v>
      </c>
    </row>
    <row r="99" spans="1:17" hidden="1" x14ac:dyDescent="0.3">
      <c r="A99" t="s">
        <v>32</v>
      </c>
      <c r="B99" t="s">
        <v>813</v>
      </c>
      <c r="C99">
        <v>1083</v>
      </c>
      <c r="D99">
        <v>4</v>
      </c>
      <c r="E99" s="8">
        <f>C99/D99</f>
        <v>270.75</v>
      </c>
      <c r="F99">
        <v>128</v>
      </c>
      <c r="G99">
        <v>48</v>
      </c>
      <c r="H99" s="8">
        <f>C99/G99</f>
        <v>22.5625</v>
      </c>
      <c r="I99">
        <v>5000</v>
      </c>
      <c r="J99">
        <v>5.7</v>
      </c>
      <c r="K99">
        <v>120</v>
      </c>
      <c r="L99" t="s">
        <v>17</v>
      </c>
      <c r="M99" t="s">
        <v>34</v>
      </c>
      <c r="N99" t="s">
        <v>19</v>
      </c>
      <c r="O99">
        <v>3.6</v>
      </c>
      <c r="P99" t="s">
        <v>39</v>
      </c>
      <c r="Q99">
        <v>2025</v>
      </c>
    </row>
    <row r="100" spans="1:17" hidden="1" x14ac:dyDescent="0.3">
      <c r="A100" t="s">
        <v>21</v>
      </c>
      <c r="B100" t="s">
        <v>652</v>
      </c>
      <c r="C100">
        <v>984</v>
      </c>
      <c r="D100">
        <v>16</v>
      </c>
      <c r="E100"/>
      <c r="F100">
        <v>512</v>
      </c>
      <c r="G100">
        <v>50</v>
      </c>
      <c r="H100"/>
      <c r="I100">
        <v>5500</v>
      </c>
      <c r="J100">
        <v>6.2</v>
      </c>
      <c r="K100">
        <v>18</v>
      </c>
      <c r="L100" t="s">
        <v>38</v>
      </c>
      <c r="M100" t="s">
        <v>18</v>
      </c>
      <c r="N100" t="s">
        <v>31</v>
      </c>
      <c r="O100">
        <v>3.6</v>
      </c>
      <c r="P100" t="s">
        <v>54</v>
      </c>
      <c r="Q100">
        <v>2025</v>
      </c>
    </row>
    <row r="101" spans="1:17" hidden="1" x14ac:dyDescent="0.3">
      <c r="A101" t="s">
        <v>32</v>
      </c>
      <c r="B101" t="s">
        <v>707</v>
      </c>
      <c r="C101">
        <v>383</v>
      </c>
      <c r="D101">
        <v>16</v>
      </c>
      <c r="E101"/>
      <c r="F101">
        <v>1024</v>
      </c>
      <c r="G101">
        <v>64</v>
      </c>
      <c r="H101"/>
      <c r="I101">
        <v>5500</v>
      </c>
      <c r="J101">
        <v>6.7</v>
      </c>
      <c r="K101">
        <v>44</v>
      </c>
      <c r="L101" t="s">
        <v>17</v>
      </c>
      <c r="M101" t="s">
        <v>34</v>
      </c>
      <c r="N101" t="s">
        <v>61</v>
      </c>
      <c r="O101">
        <v>3.6</v>
      </c>
      <c r="P101" t="s">
        <v>24</v>
      </c>
      <c r="Q101">
        <v>2025</v>
      </c>
    </row>
    <row r="102" spans="1:17" hidden="1" x14ac:dyDescent="0.3">
      <c r="A102" t="s">
        <v>36</v>
      </c>
      <c r="B102" t="s">
        <v>719</v>
      </c>
      <c r="C102">
        <v>1471</v>
      </c>
      <c r="D102">
        <v>16</v>
      </c>
      <c r="E102"/>
      <c r="F102">
        <v>64</v>
      </c>
      <c r="G102">
        <v>108</v>
      </c>
      <c r="H102"/>
      <c r="I102">
        <v>5500</v>
      </c>
      <c r="J102">
        <v>6.6</v>
      </c>
      <c r="K102">
        <v>65</v>
      </c>
      <c r="L102" t="s">
        <v>38</v>
      </c>
      <c r="M102" t="s">
        <v>18</v>
      </c>
      <c r="N102" t="s">
        <v>61</v>
      </c>
      <c r="O102">
        <v>3.6</v>
      </c>
      <c r="P102" t="s">
        <v>56</v>
      </c>
      <c r="Q102">
        <v>2025</v>
      </c>
    </row>
    <row r="103" spans="1:17" hidden="1" x14ac:dyDescent="0.3">
      <c r="A103" t="s">
        <v>40</v>
      </c>
      <c r="B103" t="s">
        <v>731</v>
      </c>
      <c r="C103">
        <v>586</v>
      </c>
      <c r="D103">
        <v>16</v>
      </c>
      <c r="E103"/>
      <c r="F103">
        <v>128</v>
      </c>
      <c r="G103">
        <v>48</v>
      </c>
      <c r="H103"/>
      <c r="I103">
        <v>4000</v>
      </c>
      <c r="J103">
        <v>7.1</v>
      </c>
      <c r="K103">
        <v>120</v>
      </c>
      <c r="L103" t="s">
        <v>17</v>
      </c>
      <c r="M103" t="s">
        <v>18</v>
      </c>
      <c r="N103" t="s">
        <v>31</v>
      </c>
      <c r="O103">
        <v>3.6</v>
      </c>
      <c r="P103" t="s">
        <v>82</v>
      </c>
      <c r="Q103">
        <v>2025</v>
      </c>
    </row>
    <row r="104" spans="1:17" x14ac:dyDescent="0.3">
      <c r="A104" t="s">
        <v>25</v>
      </c>
      <c r="B104" t="s">
        <v>319</v>
      </c>
      <c r="C104">
        <v>1042</v>
      </c>
      <c r="D104">
        <v>12</v>
      </c>
      <c r="E104" s="8">
        <f>C104/D104</f>
        <v>86.833333333333329</v>
      </c>
      <c r="F104">
        <v>128</v>
      </c>
      <c r="G104">
        <v>50</v>
      </c>
      <c r="H104" s="8">
        <f>C104/G104</f>
        <v>20.84</v>
      </c>
      <c r="I104">
        <v>4500</v>
      </c>
      <c r="J104">
        <v>6.8</v>
      </c>
      <c r="K104">
        <v>120</v>
      </c>
      <c r="L104" t="s">
        <v>38</v>
      </c>
      <c r="M104" t="s">
        <v>18</v>
      </c>
      <c r="N104" t="s">
        <v>48</v>
      </c>
      <c r="O104">
        <v>3.6</v>
      </c>
      <c r="P104" t="s">
        <v>39</v>
      </c>
      <c r="Q104">
        <v>2025</v>
      </c>
    </row>
    <row r="105" spans="1:17" hidden="1" x14ac:dyDescent="0.3">
      <c r="A105" t="s">
        <v>40</v>
      </c>
      <c r="B105" t="s">
        <v>81</v>
      </c>
      <c r="C105">
        <v>192</v>
      </c>
      <c r="D105">
        <v>4</v>
      </c>
      <c r="E105"/>
      <c r="F105">
        <v>64</v>
      </c>
      <c r="G105">
        <v>12</v>
      </c>
      <c r="H105"/>
      <c r="I105">
        <v>5500</v>
      </c>
      <c r="J105">
        <v>5.7</v>
      </c>
      <c r="K105">
        <v>33</v>
      </c>
      <c r="L105" t="s">
        <v>38</v>
      </c>
      <c r="M105" t="s">
        <v>18</v>
      </c>
      <c r="N105" t="s">
        <v>61</v>
      </c>
      <c r="O105">
        <v>3.7</v>
      </c>
      <c r="P105" t="s">
        <v>82</v>
      </c>
      <c r="Q105">
        <v>2025</v>
      </c>
    </row>
    <row r="106" spans="1:17" hidden="1" x14ac:dyDescent="0.3">
      <c r="A106" t="s">
        <v>21</v>
      </c>
      <c r="B106" t="s">
        <v>769</v>
      </c>
      <c r="C106">
        <v>1320</v>
      </c>
      <c r="D106">
        <v>6</v>
      </c>
      <c r="E106" s="8">
        <f>C106/D106</f>
        <v>220</v>
      </c>
      <c r="F106">
        <v>64</v>
      </c>
      <c r="G106">
        <v>50</v>
      </c>
      <c r="H106" s="8">
        <f>C106/G106</f>
        <v>26.4</v>
      </c>
      <c r="I106">
        <v>4000</v>
      </c>
      <c r="J106">
        <v>6.9</v>
      </c>
      <c r="K106">
        <v>18</v>
      </c>
      <c r="L106" t="s">
        <v>17</v>
      </c>
      <c r="M106" t="s">
        <v>18</v>
      </c>
      <c r="N106" t="s">
        <v>19</v>
      </c>
      <c r="O106">
        <v>3.7</v>
      </c>
      <c r="P106" t="s">
        <v>20</v>
      </c>
      <c r="Q106">
        <v>2025</v>
      </c>
    </row>
    <row r="107" spans="1:17" hidden="1" x14ac:dyDescent="0.3">
      <c r="A107" t="s">
        <v>29</v>
      </c>
      <c r="B107" t="s">
        <v>459</v>
      </c>
      <c r="C107">
        <v>611</v>
      </c>
      <c r="D107">
        <v>4</v>
      </c>
      <c r="E107"/>
      <c r="F107">
        <v>64</v>
      </c>
      <c r="G107">
        <v>12</v>
      </c>
      <c r="H107"/>
      <c r="I107">
        <v>5000</v>
      </c>
      <c r="J107">
        <v>6.1</v>
      </c>
      <c r="K107">
        <v>44</v>
      </c>
      <c r="L107" t="s">
        <v>17</v>
      </c>
      <c r="M107" t="s">
        <v>18</v>
      </c>
      <c r="N107" t="s">
        <v>51</v>
      </c>
      <c r="O107">
        <v>3.7</v>
      </c>
      <c r="P107" t="s">
        <v>24</v>
      </c>
      <c r="Q107">
        <v>2025</v>
      </c>
    </row>
    <row r="108" spans="1:17" hidden="1" x14ac:dyDescent="0.3">
      <c r="A108" t="s">
        <v>15</v>
      </c>
      <c r="B108" t="s">
        <v>523</v>
      </c>
      <c r="C108">
        <v>672</v>
      </c>
      <c r="D108">
        <v>4</v>
      </c>
      <c r="E108"/>
      <c r="F108">
        <v>512</v>
      </c>
      <c r="G108">
        <v>12</v>
      </c>
      <c r="H108"/>
      <c r="I108">
        <v>6000</v>
      </c>
      <c r="J108">
        <v>6</v>
      </c>
      <c r="K108">
        <v>44</v>
      </c>
      <c r="L108" t="s">
        <v>38</v>
      </c>
      <c r="M108" t="s">
        <v>18</v>
      </c>
      <c r="N108" t="s">
        <v>51</v>
      </c>
      <c r="O108">
        <v>3.7</v>
      </c>
      <c r="P108" t="s">
        <v>46</v>
      </c>
      <c r="Q108">
        <v>2025</v>
      </c>
    </row>
    <row r="109" spans="1:17" x14ac:dyDescent="0.3">
      <c r="A109" t="s">
        <v>66</v>
      </c>
      <c r="B109" t="s">
        <v>497</v>
      </c>
      <c r="C109">
        <v>980</v>
      </c>
      <c r="D109">
        <v>16</v>
      </c>
      <c r="E109" s="8">
        <f>C109/D109</f>
        <v>61.25</v>
      </c>
      <c r="F109">
        <v>512</v>
      </c>
      <c r="G109">
        <v>48</v>
      </c>
      <c r="H109" s="8">
        <f>C109/G109</f>
        <v>20.416666666666668</v>
      </c>
      <c r="I109">
        <v>6000</v>
      </c>
      <c r="J109">
        <v>7.1</v>
      </c>
      <c r="K109">
        <v>18</v>
      </c>
      <c r="L109" t="s">
        <v>38</v>
      </c>
      <c r="M109" t="s">
        <v>18</v>
      </c>
      <c r="N109" t="s">
        <v>35</v>
      </c>
      <c r="O109">
        <v>3.7</v>
      </c>
      <c r="P109" t="s">
        <v>54</v>
      </c>
      <c r="Q109">
        <v>2025</v>
      </c>
    </row>
    <row r="110" spans="1:17" hidden="1" x14ac:dyDescent="0.3">
      <c r="A110" t="s">
        <v>15</v>
      </c>
      <c r="B110" t="s">
        <v>635</v>
      </c>
      <c r="C110">
        <v>545</v>
      </c>
      <c r="D110">
        <v>4</v>
      </c>
      <c r="E110"/>
      <c r="F110">
        <v>128</v>
      </c>
      <c r="G110">
        <v>200</v>
      </c>
      <c r="H110"/>
      <c r="I110">
        <v>4000</v>
      </c>
      <c r="J110">
        <v>7</v>
      </c>
      <c r="K110">
        <v>65</v>
      </c>
      <c r="L110" t="s">
        <v>38</v>
      </c>
      <c r="M110" t="s">
        <v>18</v>
      </c>
      <c r="N110" t="s">
        <v>51</v>
      </c>
      <c r="O110">
        <v>3.7</v>
      </c>
      <c r="P110" t="s">
        <v>28</v>
      </c>
      <c r="Q110">
        <v>2025</v>
      </c>
    </row>
    <row r="111" spans="1:17" hidden="1" x14ac:dyDescent="0.3">
      <c r="A111" t="s">
        <v>49</v>
      </c>
      <c r="B111" t="s">
        <v>496</v>
      </c>
      <c r="C111">
        <v>900</v>
      </c>
      <c r="D111">
        <v>12</v>
      </c>
      <c r="E111" s="8">
        <f t="shared" ref="E111:E113" si="8">C111/D111</f>
        <v>75</v>
      </c>
      <c r="F111">
        <v>128</v>
      </c>
      <c r="G111">
        <v>200</v>
      </c>
      <c r="H111" s="8">
        <f t="shared" ref="H111:H113" si="9">C111/G111</f>
        <v>4.5</v>
      </c>
      <c r="I111">
        <v>5000</v>
      </c>
      <c r="J111">
        <v>7.2</v>
      </c>
      <c r="K111">
        <v>18</v>
      </c>
      <c r="L111" t="s">
        <v>17</v>
      </c>
      <c r="M111" t="s">
        <v>18</v>
      </c>
      <c r="N111" t="s">
        <v>27</v>
      </c>
      <c r="O111">
        <v>3.7</v>
      </c>
      <c r="P111" t="s">
        <v>42</v>
      </c>
      <c r="Q111">
        <v>2025</v>
      </c>
    </row>
    <row r="112" spans="1:17" hidden="1" x14ac:dyDescent="0.3">
      <c r="A112" t="s">
        <v>32</v>
      </c>
      <c r="B112" t="s">
        <v>633</v>
      </c>
      <c r="C112">
        <v>1403</v>
      </c>
      <c r="D112">
        <v>12</v>
      </c>
      <c r="E112" s="8">
        <f t="shared" si="8"/>
        <v>116.91666666666667</v>
      </c>
      <c r="F112">
        <v>256</v>
      </c>
      <c r="G112">
        <v>12</v>
      </c>
      <c r="H112" s="8">
        <f t="shared" si="9"/>
        <v>116.91666666666667</v>
      </c>
      <c r="I112">
        <v>4500</v>
      </c>
      <c r="J112">
        <v>6.1</v>
      </c>
      <c r="K112">
        <v>33</v>
      </c>
      <c r="L112" t="s">
        <v>17</v>
      </c>
      <c r="M112" t="s">
        <v>34</v>
      </c>
      <c r="N112" t="s">
        <v>61</v>
      </c>
      <c r="O112">
        <v>3.7</v>
      </c>
      <c r="P112" t="s">
        <v>71</v>
      </c>
      <c r="Q112">
        <v>2025</v>
      </c>
    </row>
    <row r="113" spans="1:17" hidden="1" x14ac:dyDescent="0.3">
      <c r="A113" t="s">
        <v>29</v>
      </c>
      <c r="B113" t="s">
        <v>558</v>
      </c>
      <c r="C113">
        <v>820</v>
      </c>
      <c r="D113">
        <v>4</v>
      </c>
      <c r="E113" s="8">
        <f t="shared" si="8"/>
        <v>205</v>
      </c>
      <c r="F113">
        <v>512</v>
      </c>
      <c r="G113">
        <v>108</v>
      </c>
      <c r="H113" s="8">
        <f t="shared" si="9"/>
        <v>7.5925925925925926</v>
      </c>
      <c r="I113">
        <v>4500</v>
      </c>
      <c r="J113">
        <v>6.3</v>
      </c>
      <c r="K113">
        <v>33</v>
      </c>
      <c r="L113" t="s">
        <v>17</v>
      </c>
      <c r="M113" t="s">
        <v>18</v>
      </c>
      <c r="N113" t="s">
        <v>48</v>
      </c>
      <c r="O113">
        <v>3.7</v>
      </c>
      <c r="P113" t="s">
        <v>42</v>
      </c>
      <c r="Q113">
        <v>2025</v>
      </c>
    </row>
    <row r="114" spans="1:17" hidden="1" x14ac:dyDescent="0.3">
      <c r="A114" t="s">
        <v>21</v>
      </c>
      <c r="B114" t="s">
        <v>739</v>
      </c>
      <c r="C114">
        <v>1379</v>
      </c>
      <c r="D114">
        <v>4</v>
      </c>
      <c r="E114"/>
      <c r="F114">
        <v>512</v>
      </c>
      <c r="G114">
        <v>48</v>
      </c>
      <c r="H114"/>
      <c r="I114">
        <v>5500</v>
      </c>
      <c r="J114">
        <v>7</v>
      </c>
      <c r="K114">
        <v>65</v>
      </c>
      <c r="L114" t="s">
        <v>17</v>
      </c>
      <c r="M114" t="s">
        <v>18</v>
      </c>
      <c r="N114" t="s">
        <v>19</v>
      </c>
      <c r="O114">
        <v>3.7</v>
      </c>
      <c r="P114" t="s">
        <v>42</v>
      </c>
      <c r="Q114">
        <v>2025</v>
      </c>
    </row>
    <row r="115" spans="1:17" hidden="1" x14ac:dyDescent="0.3">
      <c r="A115" t="s">
        <v>21</v>
      </c>
      <c r="B115" t="s">
        <v>758</v>
      </c>
      <c r="C115">
        <v>1334</v>
      </c>
      <c r="D115">
        <v>4</v>
      </c>
      <c r="E115"/>
      <c r="F115">
        <v>128</v>
      </c>
      <c r="G115">
        <v>108</v>
      </c>
      <c r="H115"/>
      <c r="I115">
        <v>4000</v>
      </c>
      <c r="J115">
        <v>6</v>
      </c>
      <c r="K115">
        <v>44</v>
      </c>
      <c r="L115" t="s">
        <v>17</v>
      </c>
      <c r="M115" t="s">
        <v>18</v>
      </c>
      <c r="N115" t="s">
        <v>23</v>
      </c>
      <c r="O115">
        <v>3.7</v>
      </c>
      <c r="P115" t="s">
        <v>46</v>
      </c>
      <c r="Q115">
        <v>2025</v>
      </c>
    </row>
    <row r="116" spans="1:17" hidden="1" x14ac:dyDescent="0.3">
      <c r="A116" t="s">
        <v>36</v>
      </c>
      <c r="B116" t="s">
        <v>836</v>
      </c>
      <c r="C116">
        <v>279</v>
      </c>
      <c r="D116">
        <v>4</v>
      </c>
      <c r="E116"/>
      <c r="F116">
        <v>256</v>
      </c>
      <c r="G116">
        <v>12</v>
      </c>
      <c r="H116"/>
      <c r="I116">
        <v>6000</v>
      </c>
      <c r="J116">
        <v>7.2</v>
      </c>
      <c r="K116">
        <v>44</v>
      </c>
      <c r="L116" t="s">
        <v>17</v>
      </c>
      <c r="M116" t="s">
        <v>18</v>
      </c>
      <c r="N116" t="s">
        <v>48</v>
      </c>
      <c r="O116">
        <v>3.7</v>
      </c>
      <c r="P116" t="s">
        <v>64</v>
      </c>
      <c r="Q116">
        <v>2025</v>
      </c>
    </row>
    <row r="117" spans="1:17" hidden="1" x14ac:dyDescent="0.3">
      <c r="A117" t="s">
        <v>36</v>
      </c>
      <c r="B117" t="s">
        <v>883</v>
      </c>
      <c r="C117">
        <v>1425</v>
      </c>
      <c r="D117">
        <v>4</v>
      </c>
      <c r="E117"/>
      <c r="F117">
        <v>1024</v>
      </c>
      <c r="G117">
        <v>108</v>
      </c>
      <c r="H117"/>
      <c r="I117">
        <v>4500</v>
      </c>
      <c r="J117">
        <v>6.5</v>
      </c>
      <c r="K117">
        <v>18</v>
      </c>
      <c r="L117" t="s">
        <v>38</v>
      </c>
      <c r="M117" t="s">
        <v>18</v>
      </c>
      <c r="N117" t="s">
        <v>23</v>
      </c>
      <c r="O117">
        <v>3.7</v>
      </c>
      <c r="P117" t="s">
        <v>82</v>
      </c>
      <c r="Q117">
        <v>2025</v>
      </c>
    </row>
    <row r="118" spans="1:17" hidden="1" x14ac:dyDescent="0.3">
      <c r="A118" t="s">
        <v>49</v>
      </c>
      <c r="B118" t="s">
        <v>899</v>
      </c>
      <c r="C118">
        <v>391</v>
      </c>
      <c r="D118">
        <v>4</v>
      </c>
      <c r="E118"/>
      <c r="F118">
        <v>1024</v>
      </c>
      <c r="G118">
        <v>64</v>
      </c>
      <c r="H118"/>
      <c r="I118">
        <v>5000</v>
      </c>
      <c r="J118">
        <v>6.9</v>
      </c>
      <c r="K118">
        <v>120</v>
      </c>
      <c r="L118" t="s">
        <v>38</v>
      </c>
      <c r="M118" t="s">
        <v>18</v>
      </c>
      <c r="N118" t="s">
        <v>51</v>
      </c>
      <c r="O118">
        <v>3.7</v>
      </c>
      <c r="P118" t="s">
        <v>54</v>
      </c>
      <c r="Q118">
        <v>2025</v>
      </c>
    </row>
    <row r="119" spans="1:17" hidden="1" x14ac:dyDescent="0.3">
      <c r="A119" t="s">
        <v>32</v>
      </c>
      <c r="B119" t="s">
        <v>236</v>
      </c>
      <c r="C119">
        <v>736</v>
      </c>
      <c r="D119">
        <v>6</v>
      </c>
      <c r="E119"/>
      <c r="F119">
        <v>128</v>
      </c>
      <c r="G119">
        <v>64</v>
      </c>
      <c r="H119"/>
      <c r="I119">
        <v>6000</v>
      </c>
      <c r="J119">
        <v>7.1</v>
      </c>
      <c r="K119">
        <v>18</v>
      </c>
      <c r="L119" t="s">
        <v>17</v>
      </c>
      <c r="M119" t="s">
        <v>34</v>
      </c>
      <c r="N119" t="s">
        <v>23</v>
      </c>
      <c r="O119">
        <v>3.7</v>
      </c>
      <c r="P119" t="s">
        <v>46</v>
      </c>
      <c r="Q119">
        <v>2025</v>
      </c>
    </row>
    <row r="120" spans="1:17" hidden="1" x14ac:dyDescent="0.3">
      <c r="A120" t="s">
        <v>32</v>
      </c>
      <c r="B120" t="s">
        <v>256</v>
      </c>
      <c r="C120">
        <v>628</v>
      </c>
      <c r="D120">
        <v>6</v>
      </c>
      <c r="E120"/>
      <c r="F120">
        <v>64</v>
      </c>
      <c r="G120">
        <v>64</v>
      </c>
      <c r="H120"/>
      <c r="I120">
        <v>5000</v>
      </c>
      <c r="J120">
        <v>7.2</v>
      </c>
      <c r="K120">
        <v>100</v>
      </c>
      <c r="L120" t="s">
        <v>38</v>
      </c>
      <c r="M120" t="s">
        <v>34</v>
      </c>
      <c r="N120" t="s">
        <v>19</v>
      </c>
      <c r="O120">
        <v>3.7</v>
      </c>
      <c r="P120" t="s">
        <v>20</v>
      </c>
      <c r="Q120">
        <v>2025</v>
      </c>
    </row>
    <row r="121" spans="1:17" x14ac:dyDescent="0.3">
      <c r="A121" t="s">
        <v>49</v>
      </c>
      <c r="B121" t="s">
        <v>615</v>
      </c>
      <c r="C121">
        <v>230</v>
      </c>
      <c r="D121">
        <v>6</v>
      </c>
      <c r="E121" s="8">
        <f>C121/D121</f>
        <v>38.333333333333336</v>
      </c>
      <c r="F121">
        <v>256</v>
      </c>
      <c r="G121">
        <v>108</v>
      </c>
      <c r="H121" s="8">
        <f>C121/G121</f>
        <v>2.1296296296296298</v>
      </c>
      <c r="I121">
        <v>4500</v>
      </c>
      <c r="J121">
        <v>6.4</v>
      </c>
      <c r="K121">
        <v>33</v>
      </c>
      <c r="L121" t="s">
        <v>38</v>
      </c>
      <c r="M121" t="s">
        <v>18</v>
      </c>
      <c r="N121" t="s">
        <v>23</v>
      </c>
      <c r="O121">
        <v>3.7</v>
      </c>
      <c r="P121" t="s">
        <v>42</v>
      </c>
      <c r="Q121">
        <v>2025</v>
      </c>
    </row>
    <row r="122" spans="1:17" hidden="1" x14ac:dyDescent="0.3">
      <c r="A122" t="s">
        <v>15</v>
      </c>
      <c r="B122" t="s">
        <v>321</v>
      </c>
      <c r="C122">
        <v>319</v>
      </c>
      <c r="D122">
        <v>6</v>
      </c>
      <c r="E122"/>
      <c r="F122">
        <v>256</v>
      </c>
      <c r="G122">
        <v>200</v>
      </c>
      <c r="H122"/>
      <c r="I122">
        <v>4500</v>
      </c>
      <c r="J122">
        <v>6.7</v>
      </c>
      <c r="K122">
        <v>44</v>
      </c>
      <c r="L122" t="s">
        <v>38</v>
      </c>
      <c r="M122" t="s">
        <v>18</v>
      </c>
      <c r="N122" t="s">
        <v>35</v>
      </c>
      <c r="O122">
        <v>3.7</v>
      </c>
      <c r="P122" t="s">
        <v>39</v>
      </c>
      <c r="Q122">
        <v>2025</v>
      </c>
    </row>
    <row r="123" spans="1:17" hidden="1" x14ac:dyDescent="0.3">
      <c r="A123" t="s">
        <v>32</v>
      </c>
      <c r="B123" t="s">
        <v>361</v>
      </c>
      <c r="C123">
        <v>761</v>
      </c>
      <c r="D123">
        <v>6</v>
      </c>
      <c r="E123"/>
      <c r="F123">
        <v>512</v>
      </c>
      <c r="G123">
        <v>50</v>
      </c>
      <c r="H123"/>
      <c r="I123">
        <v>4000</v>
      </c>
      <c r="J123">
        <v>5.6</v>
      </c>
      <c r="K123">
        <v>65</v>
      </c>
      <c r="L123" t="s">
        <v>38</v>
      </c>
      <c r="M123" t="s">
        <v>34</v>
      </c>
      <c r="N123" t="s">
        <v>51</v>
      </c>
      <c r="O123">
        <v>3.7</v>
      </c>
      <c r="P123" t="s">
        <v>44</v>
      </c>
      <c r="Q123">
        <v>2025</v>
      </c>
    </row>
    <row r="124" spans="1:17" hidden="1" x14ac:dyDescent="0.3">
      <c r="A124" t="s">
        <v>36</v>
      </c>
      <c r="B124" t="s">
        <v>442</v>
      </c>
      <c r="C124">
        <v>137</v>
      </c>
      <c r="D124">
        <v>6</v>
      </c>
      <c r="E124"/>
      <c r="F124">
        <v>64</v>
      </c>
      <c r="G124">
        <v>48</v>
      </c>
      <c r="H124"/>
      <c r="I124">
        <v>4500</v>
      </c>
      <c r="J124">
        <v>5.8</v>
      </c>
      <c r="K124">
        <v>33</v>
      </c>
      <c r="L124" t="s">
        <v>38</v>
      </c>
      <c r="M124" t="s">
        <v>18</v>
      </c>
      <c r="N124" t="s">
        <v>61</v>
      </c>
      <c r="O124">
        <v>3.7</v>
      </c>
      <c r="P124" t="s">
        <v>56</v>
      </c>
      <c r="Q124">
        <v>2025</v>
      </c>
    </row>
    <row r="125" spans="1:17" hidden="1" x14ac:dyDescent="0.3">
      <c r="A125" t="s">
        <v>49</v>
      </c>
      <c r="B125" t="s">
        <v>450</v>
      </c>
      <c r="C125">
        <v>718</v>
      </c>
      <c r="D125">
        <v>6</v>
      </c>
      <c r="E125"/>
      <c r="F125">
        <v>256</v>
      </c>
      <c r="G125">
        <v>200</v>
      </c>
      <c r="H125"/>
      <c r="I125">
        <v>4000</v>
      </c>
      <c r="J125">
        <v>5.5</v>
      </c>
      <c r="K125">
        <v>100</v>
      </c>
      <c r="L125" t="s">
        <v>38</v>
      </c>
      <c r="M125" t="s">
        <v>18</v>
      </c>
      <c r="N125" t="s">
        <v>51</v>
      </c>
      <c r="O125">
        <v>3.7</v>
      </c>
      <c r="P125" t="s">
        <v>44</v>
      </c>
      <c r="Q125">
        <v>2025</v>
      </c>
    </row>
    <row r="126" spans="1:17" hidden="1" x14ac:dyDescent="0.3">
      <c r="A126" t="s">
        <v>29</v>
      </c>
      <c r="B126" t="s">
        <v>477</v>
      </c>
      <c r="C126">
        <v>664</v>
      </c>
      <c r="D126">
        <v>6</v>
      </c>
      <c r="E126"/>
      <c r="F126">
        <v>64</v>
      </c>
      <c r="G126">
        <v>12</v>
      </c>
      <c r="H126"/>
      <c r="I126">
        <v>5500</v>
      </c>
      <c r="J126">
        <v>5.6</v>
      </c>
      <c r="K126">
        <v>18</v>
      </c>
      <c r="L126" t="s">
        <v>17</v>
      </c>
      <c r="M126" t="s">
        <v>18</v>
      </c>
      <c r="N126" t="s">
        <v>23</v>
      </c>
      <c r="O126">
        <v>3.7</v>
      </c>
      <c r="P126" t="s">
        <v>46</v>
      </c>
      <c r="Q126">
        <v>2025</v>
      </c>
    </row>
    <row r="127" spans="1:17" hidden="1" x14ac:dyDescent="0.3">
      <c r="A127" t="s">
        <v>29</v>
      </c>
      <c r="B127" t="s">
        <v>598</v>
      </c>
      <c r="C127">
        <v>1165</v>
      </c>
      <c r="D127">
        <v>6</v>
      </c>
      <c r="E127"/>
      <c r="F127">
        <v>64</v>
      </c>
      <c r="G127">
        <v>48</v>
      </c>
      <c r="H127"/>
      <c r="I127">
        <v>4500</v>
      </c>
      <c r="J127">
        <v>6.2</v>
      </c>
      <c r="K127">
        <v>65</v>
      </c>
      <c r="L127" t="s">
        <v>17</v>
      </c>
      <c r="M127" t="s">
        <v>18</v>
      </c>
      <c r="N127" t="s">
        <v>48</v>
      </c>
      <c r="O127">
        <v>3.7</v>
      </c>
      <c r="P127" t="s">
        <v>44</v>
      </c>
      <c r="Q127">
        <v>2025</v>
      </c>
    </row>
    <row r="128" spans="1:17" x14ac:dyDescent="0.3">
      <c r="A128" t="s">
        <v>15</v>
      </c>
      <c r="B128" t="s">
        <v>315</v>
      </c>
      <c r="C128">
        <v>1040</v>
      </c>
      <c r="D128">
        <v>4</v>
      </c>
      <c r="E128" s="8">
        <f>C128/D128</f>
        <v>260</v>
      </c>
      <c r="F128">
        <v>512</v>
      </c>
      <c r="G128">
        <v>200</v>
      </c>
      <c r="H128" s="8">
        <f>C128/G128</f>
        <v>5.2</v>
      </c>
      <c r="I128">
        <v>5500</v>
      </c>
      <c r="J128">
        <v>5.6</v>
      </c>
      <c r="K128">
        <v>44</v>
      </c>
      <c r="L128" t="s">
        <v>38</v>
      </c>
      <c r="M128" t="s">
        <v>18</v>
      </c>
      <c r="N128" t="s">
        <v>19</v>
      </c>
      <c r="O128">
        <v>3.7</v>
      </c>
      <c r="P128" t="s">
        <v>64</v>
      </c>
      <c r="Q128">
        <v>2025</v>
      </c>
    </row>
    <row r="129" spans="1:17" hidden="1" x14ac:dyDescent="0.3">
      <c r="A129" t="s">
        <v>29</v>
      </c>
      <c r="B129" t="s">
        <v>767</v>
      </c>
      <c r="C129">
        <v>1397</v>
      </c>
      <c r="D129">
        <v>6</v>
      </c>
      <c r="E129"/>
      <c r="F129">
        <v>128</v>
      </c>
      <c r="G129">
        <v>48</v>
      </c>
      <c r="H129"/>
      <c r="I129">
        <v>6000</v>
      </c>
      <c r="J129">
        <v>5.8</v>
      </c>
      <c r="K129">
        <v>18</v>
      </c>
      <c r="L129" t="s">
        <v>17</v>
      </c>
      <c r="M129" t="s">
        <v>18</v>
      </c>
      <c r="N129" t="s">
        <v>51</v>
      </c>
      <c r="O129">
        <v>3.7</v>
      </c>
      <c r="P129" t="s">
        <v>39</v>
      </c>
      <c r="Q129">
        <v>2025</v>
      </c>
    </row>
    <row r="130" spans="1:17" hidden="1" x14ac:dyDescent="0.3">
      <c r="A130" t="s">
        <v>32</v>
      </c>
      <c r="B130" t="s">
        <v>790</v>
      </c>
      <c r="C130">
        <v>405</v>
      </c>
      <c r="D130">
        <v>8</v>
      </c>
      <c r="E130" s="8">
        <f>C130/D130</f>
        <v>50.625</v>
      </c>
      <c r="F130">
        <v>1024</v>
      </c>
      <c r="G130">
        <v>50</v>
      </c>
      <c r="H130" s="8">
        <f>C130/G130</f>
        <v>8.1</v>
      </c>
      <c r="I130">
        <v>5500</v>
      </c>
      <c r="J130">
        <v>5.8</v>
      </c>
      <c r="K130">
        <v>44</v>
      </c>
      <c r="L130" t="s">
        <v>17</v>
      </c>
      <c r="M130" t="s">
        <v>34</v>
      </c>
      <c r="N130" t="s">
        <v>23</v>
      </c>
      <c r="O130">
        <v>3.7</v>
      </c>
      <c r="P130" t="s">
        <v>28</v>
      </c>
      <c r="Q130">
        <v>2025</v>
      </c>
    </row>
    <row r="131" spans="1:17" hidden="1" x14ac:dyDescent="0.3">
      <c r="A131" t="s">
        <v>29</v>
      </c>
      <c r="B131" t="s">
        <v>818</v>
      </c>
      <c r="C131">
        <v>1119</v>
      </c>
      <c r="D131">
        <v>6</v>
      </c>
      <c r="E131"/>
      <c r="F131">
        <v>512</v>
      </c>
      <c r="G131">
        <v>64</v>
      </c>
      <c r="H131"/>
      <c r="I131">
        <v>5000</v>
      </c>
      <c r="J131">
        <v>7.1</v>
      </c>
      <c r="K131">
        <v>100</v>
      </c>
      <c r="L131" t="s">
        <v>17</v>
      </c>
      <c r="M131" t="s">
        <v>18</v>
      </c>
      <c r="N131" t="s">
        <v>35</v>
      </c>
      <c r="O131">
        <v>3.7</v>
      </c>
      <c r="P131" t="s">
        <v>46</v>
      </c>
      <c r="Q131">
        <v>2025</v>
      </c>
    </row>
    <row r="132" spans="1:17" x14ac:dyDescent="0.3">
      <c r="A132" t="s">
        <v>49</v>
      </c>
      <c r="B132" t="s">
        <v>130</v>
      </c>
      <c r="C132">
        <v>1400</v>
      </c>
      <c r="D132">
        <v>8</v>
      </c>
      <c r="E132" s="8">
        <f t="shared" ref="E132:E134" si="10">C132/D132</f>
        <v>175</v>
      </c>
      <c r="F132">
        <v>64</v>
      </c>
      <c r="G132">
        <v>64</v>
      </c>
      <c r="H132" s="8">
        <f t="shared" ref="H132:H134" si="11">C132/G132</f>
        <v>21.875</v>
      </c>
      <c r="I132">
        <v>6000</v>
      </c>
      <c r="J132">
        <v>6</v>
      </c>
      <c r="K132">
        <v>44</v>
      </c>
      <c r="L132" t="s">
        <v>38</v>
      </c>
      <c r="M132" t="s">
        <v>18</v>
      </c>
      <c r="N132" t="s">
        <v>23</v>
      </c>
      <c r="O132">
        <v>3.7</v>
      </c>
      <c r="P132" t="s">
        <v>54</v>
      </c>
      <c r="Q132">
        <v>2025</v>
      </c>
    </row>
    <row r="133" spans="1:17" hidden="1" x14ac:dyDescent="0.3">
      <c r="A133" t="s">
        <v>32</v>
      </c>
      <c r="B133" t="s">
        <v>666</v>
      </c>
      <c r="C133">
        <v>1100</v>
      </c>
      <c r="D133">
        <v>4</v>
      </c>
      <c r="E133" s="8">
        <f t="shared" si="10"/>
        <v>275</v>
      </c>
      <c r="F133">
        <v>128</v>
      </c>
      <c r="G133">
        <v>64</v>
      </c>
      <c r="H133" s="8">
        <f t="shared" si="11"/>
        <v>17.1875</v>
      </c>
      <c r="I133">
        <v>5500</v>
      </c>
      <c r="J133">
        <v>6.1</v>
      </c>
      <c r="K133">
        <v>44</v>
      </c>
      <c r="L133" t="s">
        <v>17</v>
      </c>
      <c r="M133" t="s">
        <v>34</v>
      </c>
      <c r="N133" t="s">
        <v>61</v>
      </c>
      <c r="O133">
        <v>3.7</v>
      </c>
      <c r="P133" t="s">
        <v>64</v>
      </c>
      <c r="Q133">
        <v>2025</v>
      </c>
    </row>
    <row r="134" spans="1:17" x14ac:dyDescent="0.3">
      <c r="A134" t="s">
        <v>15</v>
      </c>
      <c r="B134" t="s">
        <v>670</v>
      </c>
      <c r="C134">
        <v>820</v>
      </c>
      <c r="D134">
        <v>4</v>
      </c>
      <c r="E134" s="8">
        <f t="shared" si="10"/>
        <v>205</v>
      </c>
      <c r="F134">
        <v>1024</v>
      </c>
      <c r="G134">
        <v>108</v>
      </c>
      <c r="H134" s="8">
        <f t="shared" si="11"/>
        <v>7.5925925925925926</v>
      </c>
      <c r="I134">
        <v>5000</v>
      </c>
      <c r="J134">
        <v>6.4</v>
      </c>
      <c r="K134">
        <v>44</v>
      </c>
      <c r="L134" t="s">
        <v>38</v>
      </c>
      <c r="M134" t="s">
        <v>18</v>
      </c>
      <c r="N134" t="s">
        <v>23</v>
      </c>
      <c r="O134">
        <v>3.7</v>
      </c>
      <c r="P134" t="s">
        <v>46</v>
      </c>
      <c r="Q134">
        <v>2025</v>
      </c>
    </row>
    <row r="135" spans="1:17" hidden="1" x14ac:dyDescent="0.3">
      <c r="A135" t="s">
        <v>29</v>
      </c>
      <c r="B135" t="s">
        <v>291</v>
      </c>
      <c r="C135">
        <v>1447</v>
      </c>
      <c r="D135">
        <v>8</v>
      </c>
      <c r="E135"/>
      <c r="F135">
        <v>128</v>
      </c>
      <c r="G135">
        <v>64</v>
      </c>
      <c r="H135"/>
      <c r="I135">
        <v>4000</v>
      </c>
      <c r="J135">
        <v>6</v>
      </c>
      <c r="K135">
        <v>100</v>
      </c>
      <c r="L135" t="s">
        <v>17</v>
      </c>
      <c r="M135" t="s">
        <v>18</v>
      </c>
      <c r="N135" t="s">
        <v>61</v>
      </c>
      <c r="O135">
        <v>3.7</v>
      </c>
      <c r="P135" t="s">
        <v>28</v>
      </c>
      <c r="Q135">
        <v>2025</v>
      </c>
    </row>
    <row r="136" spans="1:17" hidden="1" x14ac:dyDescent="0.3">
      <c r="A136" t="s">
        <v>36</v>
      </c>
      <c r="B136" t="s">
        <v>342</v>
      </c>
      <c r="C136">
        <v>1413</v>
      </c>
      <c r="D136">
        <v>8</v>
      </c>
      <c r="E136"/>
      <c r="F136">
        <v>256</v>
      </c>
      <c r="G136">
        <v>12</v>
      </c>
      <c r="H136"/>
      <c r="I136">
        <v>5000</v>
      </c>
      <c r="J136">
        <v>6.1</v>
      </c>
      <c r="K136">
        <v>65</v>
      </c>
      <c r="L136" t="s">
        <v>38</v>
      </c>
      <c r="M136" t="s">
        <v>18</v>
      </c>
      <c r="N136" t="s">
        <v>19</v>
      </c>
      <c r="O136">
        <v>3.7</v>
      </c>
      <c r="P136" t="s">
        <v>64</v>
      </c>
      <c r="Q136">
        <v>2025</v>
      </c>
    </row>
    <row r="137" spans="1:17" hidden="1" x14ac:dyDescent="0.3">
      <c r="A137" t="s">
        <v>40</v>
      </c>
      <c r="B137" t="s">
        <v>428</v>
      </c>
      <c r="C137">
        <v>688</v>
      </c>
      <c r="D137">
        <v>8</v>
      </c>
      <c r="E137"/>
      <c r="F137">
        <v>256</v>
      </c>
      <c r="G137">
        <v>64</v>
      </c>
      <c r="H137"/>
      <c r="I137">
        <v>5000</v>
      </c>
      <c r="J137">
        <v>5.7</v>
      </c>
      <c r="K137">
        <v>18</v>
      </c>
      <c r="L137" t="s">
        <v>17</v>
      </c>
      <c r="M137" t="s">
        <v>18</v>
      </c>
      <c r="N137" t="s">
        <v>48</v>
      </c>
      <c r="O137">
        <v>3.7</v>
      </c>
      <c r="P137" t="s">
        <v>56</v>
      </c>
      <c r="Q137">
        <v>2025</v>
      </c>
    </row>
    <row r="138" spans="1:17" hidden="1" x14ac:dyDescent="0.3">
      <c r="A138" t="s">
        <v>25</v>
      </c>
      <c r="B138" t="s">
        <v>494</v>
      </c>
      <c r="C138">
        <v>927</v>
      </c>
      <c r="D138">
        <v>8</v>
      </c>
      <c r="E138"/>
      <c r="F138">
        <v>128</v>
      </c>
      <c r="G138">
        <v>64</v>
      </c>
      <c r="H138"/>
      <c r="I138">
        <v>6000</v>
      </c>
      <c r="J138">
        <v>6.8</v>
      </c>
      <c r="K138">
        <v>33</v>
      </c>
      <c r="L138" t="s">
        <v>17</v>
      </c>
      <c r="M138" t="s">
        <v>18</v>
      </c>
      <c r="N138" t="s">
        <v>35</v>
      </c>
      <c r="O138">
        <v>3.7</v>
      </c>
      <c r="P138" t="s">
        <v>44</v>
      </c>
      <c r="Q138">
        <v>2025</v>
      </c>
    </row>
    <row r="139" spans="1:17" hidden="1" x14ac:dyDescent="0.3">
      <c r="A139" t="s">
        <v>40</v>
      </c>
      <c r="B139" t="s">
        <v>503</v>
      </c>
      <c r="C139">
        <v>1369</v>
      </c>
      <c r="D139">
        <v>8</v>
      </c>
      <c r="E139"/>
      <c r="F139">
        <v>512</v>
      </c>
      <c r="G139">
        <v>48</v>
      </c>
      <c r="H139"/>
      <c r="I139">
        <v>4000</v>
      </c>
      <c r="J139">
        <v>5.6</v>
      </c>
      <c r="K139">
        <v>100</v>
      </c>
      <c r="L139" t="s">
        <v>17</v>
      </c>
      <c r="M139" t="s">
        <v>18</v>
      </c>
      <c r="N139" t="s">
        <v>19</v>
      </c>
      <c r="O139">
        <v>3.7</v>
      </c>
      <c r="P139" t="s">
        <v>56</v>
      </c>
      <c r="Q139">
        <v>2025</v>
      </c>
    </row>
    <row r="140" spans="1:17" hidden="1" x14ac:dyDescent="0.3">
      <c r="A140" t="s">
        <v>32</v>
      </c>
      <c r="B140" t="s">
        <v>573</v>
      </c>
      <c r="C140">
        <v>933</v>
      </c>
      <c r="D140">
        <v>8</v>
      </c>
      <c r="E140"/>
      <c r="F140">
        <v>1024</v>
      </c>
      <c r="G140">
        <v>48</v>
      </c>
      <c r="H140"/>
      <c r="I140">
        <v>5500</v>
      </c>
      <c r="J140">
        <v>5.7</v>
      </c>
      <c r="K140">
        <v>65</v>
      </c>
      <c r="L140" t="s">
        <v>17</v>
      </c>
      <c r="M140" t="s">
        <v>34</v>
      </c>
      <c r="N140" t="s">
        <v>19</v>
      </c>
      <c r="O140">
        <v>3.7</v>
      </c>
      <c r="P140" t="s">
        <v>24</v>
      </c>
      <c r="Q140">
        <v>2025</v>
      </c>
    </row>
    <row r="141" spans="1:17" hidden="1" x14ac:dyDescent="0.3">
      <c r="A141" t="s">
        <v>15</v>
      </c>
      <c r="B141" t="s">
        <v>602</v>
      </c>
      <c r="C141">
        <v>166</v>
      </c>
      <c r="D141">
        <v>8</v>
      </c>
      <c r="E141"/>
      <c r="F141">
        <v>64</v>
      </c>
      <c r="G141">
        <v>12</v>
      </c>
      <c r="H141"/>
      <c r="I141">
        <v>6000</v>
      </c>
      <c r="J141">
        <v>6.4</v>
      </c>
      <c r="K141">
        <v>65</v>
      </c>
      <c r="L141" t="s">
        <v>17</v>
      </c>
      <c r="M141" t="s">
        <v>18</v>
      </c>
      <c r="N141" t="s">
        <v>23</v>
      </c>
      <c r="O141">
        <v>3.7</v>
      </c>
      <c r="P141" t="s">
        <v>24</v>
      </c>
      <c r="Q141">
        <v>2025</v>
      </c>
    </row>
    <row r="142" spans="1:17" x14ac:dyDescent="0.3">
      <c r="A142" t="s">
        <v>66</v>
      </c>
      <c r="B142" t="s">
        <v>93</v>
      </c>
      <c r="C142">
        <v>1480</v>
      </c>
      <c r="D142">
        <v>16</v>
      </c>
      <c r="E142" s="8">
        <f>C142/D142</f>
        <v>92.5</v>
      </c>
      <c r="F142">
        <v>256</v>
      </c>
      <c r="G142">
        <v>64</v>
      </c>
      <c r="H142" s="8">
        <f>C142/G142</f>
        <v>23.125</v>
      </c>
      <c r="I142">
        <v>6000</v>
      </c>
      <c r="J142">
        <v>6.5</v>
      </c>
      <c r="K142">
        <v>44</v>
      </c>
      <c r="L142" t="s">
        <v>38</v>
      </c>
      <c r="M142" t="s">
        <v>18</v>
      </c>
      <c r="N142" t="s">
        <v>61</v>
      </c>
      <c r="O142">
        <v>3.7</v>
      </c>
      <c r="P142" t="s">
        <v>71</v>
      </c>
      <c r="Q142">
        <v>2025</v>
      </c>
    </row>
    <row r="143" spans="1:17" hidden="1" x14ac:dyDescent="0.3">
      <c r="A143" t="s">
        <v>25</v>
      </c>
      <c r="B143" t="s">
        <v>794</v>
      </c>
      <c r="C143">
        <v>1229</v>
      </c>
      <c r="D143">
        <v>8</v>
      </c>
      <c r="E143"/>
      <c r="F143">
        <v>64</v>
      </c>
      <c r="G143">
        <v>48</v>
      </c>
      <c r="H143"/>
      <c r="I143">
        <v>5000</v>
      </c>
      <c r="J143">
        <v>6.3</v>
      </c>
      <c r="K143">
        <v>18</v>
      </c>
      <c r="L143" t="s">
        <v>17</v>
      </c>
      <c r="M143" t="s">
        <v>18</v>
      </c>
      <c r="N143" t="s">
        <v>27</v>
      </c>
      <c r="O143">
        <v>3.7</v>
      </c>
      <c r="P143" t="s">
        <v>54</v>
      </c>
      <c r="Q143">
        <v>2025</v>
      </c>
    </row>
    <row r="144" spans="1:17" hidden="1" x14ac:dyDescent="0.3">
      <c r="A144" t="s">
        <v>32</v>
      </c>
      <c r="B144" t="s">
        <v>800</v>
      </c>
      <c r="C144">
        <v>853</v>
      </c>
      <c r="D144">
        <v>8</v>
      </c>
      <c r="E144"/>
      <c r="F144">
        <v>512</v>
      </c>
      <c r="G144">
        <v>50</v>
      </c>
      <c r="H144"/>
      <c r="I144">
        <v>4000</v>
      </c>
      <c r="J144">
        <v>6.1</v>
      </c>
      <c r="K144">
        <v>18</v>
      </c>
      <c r="L144" t="s">
        <v>38</v>
      </c>
      <c r="M144" t="s">
        <v>34</v>
      </c>
      <c r="N144" t="s">
        <v>61</v>
      </c>
      <c r="O144">
        <v>3.7</v>
      </c>
      <c r="P144" t="s">
        <v>71</v>
      </c>
      <c r="Q144">
        <v>2025</v>
      </c>
    </row>
    <row r="145" spans="1:17" hidden="1" x14ac:dyDescent="0.3">
      <c r="A145" t="s">
        <v>15</v>
      </c>
      <c r="B145" t="s">
        <v>972</v>
      </c>
      <c r="C145">
        <v>1432</v>
      </c>
      <c r="D145">
        <v>8</v>
      </c>
      <c r="E145"/>
      <c r="F145">
        <v>1024</v>
      </c>
      <c r="G145">
        <v>50</v>
      </c>
      <c r="H145"/>
      <c r="I145">
        <v>5000</v>
      </c>
      <c r="J145">
        <v>6.3</v>
      </c>
      <c r="K145">
        <v>18</v>
      </c>
      <c r="L145" t="s">
        <v>38</v>
      </c>
      <c r="M145" t="s">
        <v>18</v>
      </c>
      <c r="N145" t="s">
        <v>31</v>
      </c>
      <c r="O145">
        <v>3.7</v>
      </c>
      <c r="P145" t="s">
        <v>71</v>
      </c>
      <c r="Q145">
        <v>2025</v>
      </c>
    </row>
    <row r="146" spans="1:17" hidden="1" x14ac:dyDescent="0.3">
      <c r="A146" t="s">
        <v>32</v>
      </c>
      <c r="B146" t="s">
        <v>1002</v>
      </c>
      <c r="C146">
        <v>1467</v>
      </c>
      <c r="D146">
        <v>8</v>
      </c>
      <c r="E146"/>
      <c r="F146">
        <v>1024</v>
      </c>
      <c r="G146">
        <v>64</v>
      </c>
      <c r="H146"/>
      <c r="I146">
        <v>5500</v>
      </c>
      <c r="J146">
        <v>6.8</v>
      </c>
      <c r="K146">
        <v>65</v>
      </c>
      <c r="L146" t="s">
        <v>17</v>
      </c>
      <c r="M146" t="s">
        <v>34</v>
      </c>
      <c r="N146" t="s">
        <v>35</v>
      </c>
      <c r="O146">
        <v>3.7</v>
      </c>
      <c r="P146" t="s">
        <v>46</v>
      </c>
      <c r="Q146">
        <v>2025</v>
      </c>
    </row>
    <row r="147" spans="1:17" x14ac:dyDescent="0.3">
      <c r="A147" t="s">
        <v>66</v>
      </c>
      <c r="B147" t="s">
        <v>628</v>
      </c>
      <c r="C147">
        <v>501</v>
      </c>
      <c r="D147">
        <v>12</v>
      </c>
      <c r="E147" s="8">
        <f>C147/D147</f>
        <v>41.75</v>
      </c>
      <c r="F147">
        <v>128</v>
      </c>
      <c r="G147">
        <v>48</v>
      </c>
      <c r="H147" s="8">
        <f>C147/G147</f>
        <v>10.4375</v>
      </c>
      <c r="I147">
        <v>5000</v>
      </c>
      <c r="J147">
        <v>6.8</v>
      </c>
      <c r="K147">
        <v>44</v>
      </c>
      <c r="L147" t="s">
        <v>38</v>
      </c>
      <c r="M147" t="s">
        <v>18</v>
      </c>
      <c r="N147" t="s">
        <v>48</v>
      </c>
      <c r="O147">
        <v>3.7</v>
      </c>
      <c r="P147" t="s">
        <v>56</v>
      </c>
      <c r="Q147">
        <v>2025</v>
      </c>
    </row>
    <row r="148" spans="1:17" hidden="1" x14ac:dyDescent="0.3">
      <c r="A148" t="s">
        <v>25</v>
      </c>
      <c r="B148" t="s">
        <v>127</v>
      </c>
      <c r="C148">
        <v>525</v>
      </c>
      <c r="D148">
        <v>12</v>
      </c>
      <c r="E148"/>
      <c r="F148">
        <v>64</v>
      </c>
      <c r="G148">
        <v>108</v>
      </c>
      <c r="H148"/>
      <c r="I148">
        <v>5500</v>
      </c>
      <c r="J148">
        <v>6.6</v>
      </c>
      <c r="K148">
        <v>65</v>
      </c>
      <c r="L148" t="s">
        <v>38</v>
      </c>
      <c r="M148" t="s">
        <v>18</v>
      </c>
      <c r="N148" t="s">
        <v>27</v>
      </c>
      <c r="O148">
        <v>3.7</v>
      </c>
      <c r="P148" t="s">
        <v>54</v>
      </c>
      <c r="Q148">
        <v>2025</v>
      </c>
    </row>
    <row r="149" spans="1:17" hidden="1" x14ac:dyDescent="0.3">
      <c r="A149" t="s">
        <v>25</v>
      </c>
      <c r="B149" t="s">
        <v>137</v>
      </c>
      <c r="C149">
        <v>629</v>
      </c>
      <c r="D149">
        <v>12</v>
      </c>
      <c r="E149"/>
      <c r="F149">
        <v>256</v>
      </c>
      <c r="G149">
        <v>64</v>
      </c>
      <c r="H149"/>
      <c r="I149">
        <v>6000</v>
      </c>
      <c r="J149">
        <v>7.1</v>
      </c>
      <c r="K149">
        <v>44</v>
      </c>
      <c r="L149" t="s">
        <v>17</v>
      </c>
      <c r="M149" t="s">
        <v>18</v>
      </c>
      <c r="N149" t="s">
        <v>27</v>
      </c>
      <c r="O149">
        <v>3.7</v>
      </c>
      <c r="P149" t="s">
        <v>46</v>
      </c>
      <c r="Q149">
        <v>2025</v>
      </c>
    </row>
    <row r="150" spans="1:17" hidden="1" x14ac:dyDescent="0.3">
      <c r="A150" t="s">
        <v>40</v>
      </c>
      <c r="B150" t="s">
        <v>152</v>
      </c>
      <c r="C150">
        <v>378</v>
      </c>
      <c r="D150">
        <v>12</v>
      </c>
      <c r="E150"/>
      <c r="F150">
        <v>512</v>
      </c>
      <c r="G150">
        <v>12</v>
      </c>
      <c r="H150"/>
      <c r="I150">
        <v>5000</v>
      </c>
      <c r="J150">
        <v>6.9</v>
      </c>
      <c r="K150">
        <v>120</v>
      </c>
      <c r="L150" t="s">
        <v>17</v>
      </c>
      <c r="M150" t="s">
        <v>18</v>
      </c>
      <c r="N150" t="s">
        <v>48</v>
      </c>
      <c r="O150">
        <v>3.7</v>
      </c>
      <c r="P150" t="s">
        <v>44</v>
      </c>
      <c r="Q150">
        <v>2025</v>
      </c>
    </row>
    <row r="151" spans="1:17" hidden="1" x14ac:dyDescent="0.3">
      <c r="A151" t="s">
        <v>40</v>
      </c>
      <c r="B151" t="s">
        <v>259</v>
      </c>
      <c r="C151">
        <v>567</v>
      </c>
      <c r="D151">
        <v>12</v>
      </c>
      <c r="E151"/>
      <c r="F151">
        <v>1024</v>
      </c>
      <c r="G151">
        <v>200</v>
      </c>
      <c r="H151"/>
      <c r="I151">
        <v>4500</v>
      </c>
      <c r="J151">
        <v>6.3</v>
      </c>
      <c r="K151">
        <v>120</v>
      </c>
      <c r="L151" t="s">
        <v>17</v>
      </c>
      <c r="M151" t="s">
        <v>18</v>
      </c>
      <c r="N151" t="s">
        <v>27</v>
      </c>
      <c r="O151">
        <v>3.7</v>
      </c>
      <c r="P151" t="s">
        <v>28</v>
      </c>
      <c r="Q151">
        <v>2025</v>
      </c>
    </row>
    <row r="152" spans="1:17" hidden="1" x14ac:dyDescent="0.3">
      <c r="A152" t="s">
        <v>25</v>
      </c>
      <c r="B152" t="s">
        <v>362</v>
      </c>
      <c r="C152">
        <v>723</v>
      </c>
      <c r="D152">
        <v>12</v>
      </c>
      <c r="E152"/>
      <c r="F152">
        <v>1024</v>
      </c>
      <c r="G152">
        <v>12</v>
      </c>
      <c r="H152"/>
      <c r="I152">
        <v>4000</v>
      </c>
      <c r="J152">
        <v>6.7</v>
      </c>
      <c r="K152">
        <v>120</v>
      </c>
      <c r="L152" t="s">
        <v>38</v>
      </c>
      <c r="M152" t="s">
        <v>18</v>
      </c>
      <c r="N152" t="s">
        <v>19</v>
      </c>
      <c r="O152">
        <v>3.7</v>
      </c>
      <c r="P152" t="s">
        <v>20</v>
      </c>
      <c r="Q152">
        <v>2025</v>
      </c>
    </row>
    <row r="153" spans="1:17" hidden="1" x14ac:dyDescent="0.3">
      <c r="A153" t="s">
        <v>25</v>
      </c>
      <c r="B153" t="s">
        <v>370</v>
      </c>
      <c r="C153">
        <v>313</v>
      </c>
      <c r="D153">
        <v>12</v>
      </c>
      <c r="E153"/>
      <c r="F153">
        <v>256</v>
      </c>
      <c r="G153">
        <v>48</v>
      </c>
      <c r="H153"/>
      <c r="I153">
        <v>4500</v>
      </c>
      <c r="J153">
        <v>6.1</v>
      </c>
      <c r="K153">
        <v>120</v>
      </c>
      <c r="L153" t="s">
        <v>17</v>
      </c>
      <c r="M153" t="s">
        <v>18</v>
      </c>
      <c r="N153" t="s">
        <v>35</v>
      </c>
      <c r="O153">
        <v>3.7</v>
      </c>
      <c r="P153" t="s">
        <v>39</v>
      </c>
      <c r="Q153">
        <v>2025</v>
      </c>
    </row>
    <row r="154" spans="1:17" x14ac:dyDescent="0.3">
      <c r="A154" t="s">
        <v>15</v>
      </c>
      <c r="B154" t="s">
        <v>703</v>
      </c>
      <c r="C154">
        <v>202</v>
      </c>
      <c r="D154">
        <v>4</v>
      </c>
      <c r="E154" s="8">
        <f>C154/D154</f>
        <v>50.5</v>
      </c>
      <c r="F154">
        <v>128</v>
      </c>
      <c r="G154">
        <v>48</v>
      </c>
      <c r="H154" s="8">
        <f>C154/G154</f>
        <v>4.208333333333333</v>
      </c>
      <c r="I154">
        <v>5500</v>
      </c>
      <c r="J154">
        <v>5.9</v>
      </c>
      <c r="K154">
        <v>65</v>
      </c>
      <c r="L154" t="s">
        <v>38</v>
      </c>
      <c r="M154" t="s">
        <v>18</v>
      </c>
      <c r="N154" t="s">
        <v>19</v>
      </c>
      <c r="O154">
        <v>3.7</v>
      </c>
      <c r="P154" t="s">
        <v>54</v>
      </c>
      <c r="Q154">
        <v>2025</v>
      </c>
    </row>
    <row r="155" spans="1:17" hidden="1" x14ac:dyDescent="0.3">
      <c r="A155" t="s">
        <v>29</v>
      </c>
      <c r="B155" t="s">
        <v>624</v>
      </c>
      <c r="C155">
        <v>126</v>
      </c>
      <c r="D155">
        <v>12</v>
      </c>
      <c r="E155"/>
      <c r="F155">
        <v>512</v>
      </c>
      <c r="G155">
        <v>200</v>
      </c>
      <c r="H155"/>
      <c r="I155">
        <v>4000</v>
      </c>
      <c r="J155">
        <v>5.6</v>
      </c>
      <c r="K155">
        <v>18</v>
      </c>
      <c r="L155" t="s">
        <v>17</v>
      </c>
      <c r="M155" t="s">
        <v>18</v>
      </c>
      <c r="N155" t="s">
        <v>19</v>
      </c>
      <c r="O155">
        <v>3.7</v>
      </c>
      <c r="P155" t="s">
        <v>42</v>
      </c>
      <c r="Q155">
        <v>2025</v>
      </c>
    </row>
    <row r="156" spans="1:17" x14ac:dyDescent="0.3">
      <c r="A156" t="s">
        <v>66</v>
      </c>
      <c r="B156" t="s">
        <v>85</v>
      </c>
      <c r="C156">
        <v>290</v>
      </c>
      <c r="D156">
        <v>12</v>
      </c>
      <c r="E156" s="8">
        <f t="shared" ref="E156:E157" si="12">C156/D156</f>
        <v>24.166666666666668</v>
      </c>
      <c r="F156">
        <v>128</v>
      </c>
      <c r="G156">
        <v>12</v>
      </c>
      <c r="H156" s="8">
        <f t="shared" ref="H156:H157" si="13">C156/G156</f>
        <v>24.166666666666668</v>
      </c>
      <c r="I156">
        <v>5500</v>
      </c>
      <c r="J156">
        <v>6.1</v>
      </c>
      <c r="K156">
        <v>65</v>
      </c>
      <c r="L156" t="s">
        <v>38</v>
      </c>
      <c r="M156" t="s">
        <v>18</v>
      </c>
      <c r="N156" t="s">
        <v>61</v>
      </c>
      <c r="O156">
        <v>3.7</v>
      </c>
      <c r="P156" t="s">
        <v>71</v>
      </c>
      <c r="Q156">
        <v>2025</v>
      </c>
    </row>
    <row r="157" spans="1:17" x14ac:dyDescent="0.3">
      <c r="A157" t="s">
        <v>66</v>
      </c>
      <c r="B157" t="s">
        <v>591</v>
      </c>
      <c r="C157">
        <v>1300</v>
      </c>
      <c r="D157">
        <v>16</v>
      </c>
      <c r="E157" s="8">
        <f t="shared" si="12"/>
        <v>81.25</v>
      </c>
      <c r="F157">
        <v>256</v>
      </c>
      <c r="G157">
        <v>64</v>
      </c>
      <c r="H157" s="8">
        <f t="shared" si="13"/>
        <v>20.3125</v>
      </c>
      <c r="I157">
        <v>4000</v>
      </c>
      <c r="J157">
        <v>6.9</v>
      </c>
      <c r="K157">
        <v>65</v>
      </c>
      <c r="L157" t="s">
        <v>38</v>
      </c>
      <c r="M157" t="s">
        <v>18</v>
      </c>
      <c r="N157" t="s">
        <v>35</v>
      </c>
      <c r="O157">
        <v>3.7</v>
      </c>
      <c r="P157" t="s">
        <v>82</v>
      </c>
      <c r="Q157">
        <v>2025</v>
      </c>
    </row>
    <row r="158" spans="1:17" hidden="1" x14ac:dyDescent="0.3">
      <c r="A158" t="s">
        <v>32</v>
      </c>
      <c r="B158" t="s">
        <v>662</v>
      </c>
      <c r="C158">
        <v>1275</v>
      </c>
      <c r="D158">
        <v>12</v>
      </c>
      <c r="E158"/>
      <c r="F158">
        <v>1024</v>
      </c>
      <c r="G158">
        <v>50</v>
      </c>
      <c r="H158"/>
      <c r="I158">
        <v>4500</v>
      </c>
      <c r="J158">
        <v>5.9</v>
      </c>
      <c r="K158">
        <v>100</v>
      </c>
      <c r="L158" t="s">
        <v>38</v>
      </c>
      <c r="M158" t="s">
        <v>34</v>
      </c>
      <c r="N158" t="s">
        <v>27</v>
      </c>
      <c r="O158">
        <v>3.7</v>
      </c>
      <c r="P158" t="s">
        <v>39</v>
      </c>
      <c r="Q158">
        <v>2025</v>
      </c>
    </row>
    <row r="159" spans="1:17" hidden="1" x14ac:dyDescent="0.3">
      <c r="A159" t="s">
        <v>25</v>
      </c>
      <c r="B159" t="s">
        <v>884</v>
      </c>
      <c r="C159">
        <v>112</v>
      </c>
      <c r="D159">
        <v>12</v>
      </c>
      <c r="E159"/>
      <c r="F159">
        <v>64</v>
      </c>
      <c r="G159">
        <v>50</v>
      </c>
      <c r="H159"/>
      <c r="I159">
        <v>6000</v>
      </c>
      <c r="J159">
        <v>6</v>
      </c>
      <c r="K159">
        <v>120</v>
      </c>
      <c r="L159" t="s">
        <v>38</v>
      </c>
      <c r="M159" t="s">
        <v>18</v>
      </c>
      <c r="N159" t="s">
        <v>48</v>
      </c>
      <c r="O159">
        <v>3.7</v>
      </c>
      <c r="P159" t="s">
        <v>82</v>
      </c>
      <c r="Q159">
        <v>2025</v>
      </c>
    </row>
    <row r="160" spans="1:17" hidden="1" x14ac:dyDescent="0.3">
      <c r="A160" t="s">
        <v>36</v>
      </c>
      <c r="B160" t="s">
        <v>916</v>
      </c>
      <c r="C160">
        <v>845</v>
      </c>
      <c r="D160">
        <v>12</v>
      </c>
      <c r="E160"/>
      <c r="F160">
        <v>256</v>
      </c>
      <c r="G160">
        <v>64</v>
      </c>
      <c r="H160"/>
      <c r="I160">
        <v>4000</v>
      </c>
      <c r="J160">
        <v>6.7</v>
      </c>
      <c r="K160">
        <v>65</v>
      </c>
      <c r="L160" t="s">
        <v>38</v>
      </c>
      <c r="M160" t="s">
        <v>18</v>
      </c>
      <c r="N160" t="s">
        <v>19</v>
      </c>
      <c r="O160">
        <v>3.7</v>
      </c>
      <c r="P160" t="s">
        <v>71</v>
      </c>
      <c r="Q160">
        <v>2025</v>
      </c>
    </row>
    <row r="161" spans="1:17" hidden="1" x14ac:dyDescent="0.3">
      <c r="A161" t="s">
        <v>29</v>
      </c>
      <c r="B161" t="s">
        <v>937</v>
      </c>
      <c r="C161">
        <v>344</v>
      </c>
      <c r="D161">
        <v>12</v>
      </c>
      <c r="E161"/>
      <c r="F161">
        <v>1024</v>
      </c>
      <c r="G161">
        <v>108</v>
      </c>
      <c r="H161"/>
      <c r="I161">
        <v>4500</v>
      </c>
      <c r="J161">
        <v>7.2</v>
      </c>
      <c r="K161">
        <v>33</v>
      </c>
      <c r="L161" t="s">
        <v>17</v>
      </c>
      <c r="M161" t="s">
        <v>18</v>
      </c>
      <c r="N161" t="s">
        <v>23</v>
      </c>
      <c r="O161">
        <v>3.7</v>
      </c>
      <c r="P161" t="s">
        <v>54</v>
      </c>
      <c r="Q161">
        <v>2025</v>
      </c>
    </row>
    <row r="162" spans="1:17" hidden="1" x14ac:dyDescent="0.3">
      <c r="A162" t="s">
        <v>15</v>
      </c>
      <c r="B162" t="s">
        <v>1008</v>
      </c>
      <c r="C162">
        <v>435</v>
      </c>
      <c r="D162">
        <v>12</v>
      </c>
      <c r="E162"/>
      <c r="F162">
        <v>1024</v>
      </c>
      <c r="G162">
        <v>48</v>
      </c>
      <c r="H162"/>
      <c r="I162">
        <v>4000</v>
      </c>
      <c r="J162">
        <v>5.9</v>
      </c>
      <c r="K162">
        <v>33</v>
      </c>
      <c r="L162" t="s">
        <v>38</v>
      </c>
      <c r="M162" t="s">
        <v>18</v>
      </c>
      <c r="N162" t="s">
        <v>23</v>
      </c>
      <c r="O162">
        <v>3.7</v>
      </c>
      <c r="P162" t="s">
        <v>64</v>
      </c>
      <c r="Q162">
        <v>2025</v>
      </c>
    </row>
    <row r="163" spans="1:17" hidden="1" x14ac:dyDescent="0.3">
      <c r="A163" t="s">
        <v>36</v>
      </c>
      <c r="B163" t="s">
        <v>37</v>
      </c>
      <c r="C163">
        <v>938</v>
      </c>
      <c r="D163">
        <v>16</v>
      </c>
      <c r="E163"/>
      <c r="F163">
        <v>512</v>
      </c>
      <c r="G163">
        <v>200</v>
      </c>
      <c r="H163"/>
      <c r="I163">
        <v>5000</v>
      </c>
      <c r="J163">
        <v>6.2</v>
      </c>
      <c r="K163">
        <v>120</v>
      </c>
      <c r="L163" t="s">
        <v>38</v>
      </c>
      <c r="M163" t="s">
        <v>18</v>
      </c>
      <c r="N163" t="s">
        <v>31</v>
      </c>
      <c r="O163">
        <v>3.7</v>
      </c>
      <c r="P163" t="s">
        <v>39</v>
      </c>
      <c r="Q163">
        <v>2025</v>
      </c>
    </row>
    <row r="164" spans="1:17" x14ac:dyDescent="0.3">
      <c r="A164" t="s">
        <v>15</v>
      </c>
      <c r="B164" t="s">
        <v>301</v>
      </c>
      <c r="C164">
        <v>1075</v>
      </c>
      <c r="D164">
        <v>6</v>
      </c>
      <c r="E164" s="8">
        <f>C164/D164</f>
        <v>179.16666666666666</v>
      </c>
      <c r="F164">
        <v>1024</v>
      </c>
      <c r="G164">
        <v>12</v>
      </c>
      <c r="H164" s="8">
        <f>C164/G164</f>
        <v>89.583333333333329</v>
      </c>
      <c r="I164">
        <v>5500</v>
      </c>
      <c r="J164">
        <v>7.1</v>
      </c>
      <c r="K164">
        <v>65</v>
      </c>
      <c r="L164" t="s">
        <v>38</v>
      </c>
      <c r="M164" t="s">
        <v>18</v>
      </c>
      <c r="N164" t="s">
        <v>51</v>
      </c>
      <c r="O164">
        <v>3.7</v>
      </c>
      <c r="P164" t="s">
        <v>54</v>
      </c>
      <c r="Q164">
        <v>2025</v>
      </c>
    </row>
    <row r="165" spans="1:17" hidden="1" x14ac:dyDescent="0.3">
      <c r="A165" t="s">
        <v>21</v>
      </c>
      <c r="B165" t="s">
        <v>126</v>
      </c>
      <c r="C165">
        <v>814</v>
      </c>
      <c r="D165">
        <v>16</v>
      </c>
      <c r="E165"/>
      <c r="F165">
        <v>256</v>
      </c>
      <c r="G165">
        <v>200</v>
      </c>
      <c r="H165"/>
      <c r="I165">
        <v>5000</v>
      </c>
      <c r="J165">
        <v>6.2</v>
      </c>
      <c r="K165">
        <v>65</v>
      </c>
      <c r="L165" t="s">
        <v>17</v>
      </c>
      <c r="M165" t="s">
        <v>18</v>
      </c>
      <c r="N165" t="s">
        <v>31</v>
      </c>
      <c r="O165">
        <v>3.7</v>
      </c>
      <c r="P165" t="s">
        <v>28</v>
      </c>
      <c r="Q165">
        <v>2025</v>
      </c>
    </row>
    <row r="166" spans="1:17" hidden="1" x14ac:dyDescent="0.3">
      <c r="A166" t="s">
        <v>49</v>
      </c>
      <c r="B166" t="s">
        <v>189</v>
      </c>
      <c r="C166">
        <v>991</v>
      </c>
      <c r="D166">
        <v>16</v>
      </c>
      <c r="E166"/>
      <c r="F166">
        <v>128</v>
      </c>
      <c r="G166">
        <v>48</v>
      </c>
      <c r="H166"/>
      <c r="I166">
        <v>5500</v>
      </c>
      <c r="J166">
        <v>5.8</v>
      </c>
      <c r="K166">
        <v>65</v>
      </c>
      <c r="L166" t="s">
        <v>38</v>
      </c>
      <c r="M166" t="s">
        <v>18</v>
      </c>
      <c r="N166" t="s">
        <v>19</v>
      </c>
      <c r="O166">
        <v>3.7</v>
      </c>
      <c r="P166" t="s">
        <v>56</v>
      </c>
      <c r="Q166">
        <v>2025</v>
      </c>
    </row>
    <row r="167" spans="1:17" hidden="1" x14ac:dyDescent="0.3">
      <c r="A167" t="s">
        <v>49</v>
      </c>
      <c r="B167" t="s">
        <v>339</v>
      </c>
      <c r="C167">
        <v>788</v>
      </c>
      <c r="D167">
        <v>16</v>
      </c>
      <c r="E167"/>
      <c r="F167">
        <v>1024</v>
      </c>
      <c r="G167">
        <v>64</v>
      </c>
      <c r="H167"/>
      <c r="I167">
        <v>4500</v>
      </c>
      <c r="J167">
        <v>6.7</v>
      </c>
      <c r="K167">
        <v>65</v>
      </c>
      <c r="L167" t="s">
        <v>38</v>
      </c>
      <c r="M167" t="s">
        <v>18</v>
      </c>
      <c r="N167" t="s">
        <v>31</v>
      </c>
      <c r="O167">
        <v>3.7</v>
      </c>
      <c r="P167" t="s">
        <v>56</v>
      </c>
      <c r="Q167">
        <v>2025</v>
      </c>
    </row>
    <row r="168" spans="1:17" hidden="1" x14ac:dyDescent="0.3">
      <c r="A168" t="s">
        <v>40</v>
      </c>
      <c r="B168" t="s">
        <v>351</v>
      </c>
      <c r="C168">
        <v>554</v>
      </c>
      <c r="D168">
        <v>16</v>
      </c>
      <c r="E168"/>
      <c r="F168">
        <v>256</v>
      </c>
      <c r="G168">
        <v>64</v>
      </c>
      <c r="H168"/>
      <c r="I168">
        <v>5500</v>
      </c>
      <c r="J168">
        <v>6.8</v>
      </c>
      <c r="K168">
        <v>120</v>
      </c>
      <c r="L168" t="s">
        <v>38</v>
      </c>
      <c r="M168" t="s">
        <v>18</v>
      </c>
      <c r="N168" t="s">
        <v>19</v>
      </c>
      <c r="O168">
        <v>3.7</v>
      </c>
      <c r="P168" t="s">
        <v>24</v>
      </c>
      <c r="Q168">
        <v>2025</v>
      </c>
    </row>
    <row r="169" spans="1:17" hidden="1" x14ac:dyDescent="0.3">
      <c r="A169" t="s">
        <v>25</v>
      </c>
      <c r="B169" t="s">
        <v>359</v>
      </c>
      <c r="C169">
        <v>256</v>
      </c>
      <c r="D169">
        <v>16</v>
      </c>
      <c r="E169"/>
      <c r="F169">
        <v>1024</v>
      </c>
      <c r="G169">
        <v>48</v>
      </c>
      <c r="H169"/>
      <c r="I169">
        <v>4500</v>
      </c>
      <c r="J169">
        <v>6.8</v>
      </c>
      <c r="K169">
        <v>100</v>
      </c>
      <c r="L169" t="s">
        <v>38</v>
      </c>
      <c r="M169" t="s">
        <v>18</v>
      </c>
      <c r="N169" t="s">
        <v>19</v>
      </c>
      <c r="O169">
        <v>3.7</v>
      </c>
      <c r="P169" t="s">
        <v>24</v>
      </c>
      <c r="Q169">
        <v>2025</v>
      </c>
    </row>
    <row r="170" spans="1:17" hidden="1" x14ac:dyDescent="0.3">
      <c r="A170" t="s">
        <v>29</v>
      </c>
      <c r="B170" t="s">
        <v>375</v>
      </c>
      <c r="C170">
        <v>1331</v>
      </c>
      <c r="D170">
        <v>16</v>
      </c>
      <c r="E170"/>
      <c r="F170">
        <v>128</v>
      </c>
      <c r="G170">
        <v>48</v>
      </c>
      <c r="H170"/>
      <c r="I170">
        <v>6000</v>
      </c>
      <c r="J170">
        <v>6.5</v>
      </c>
      <c r="K170">
        <v>100</v>
      </c>
      <c r="L170" t="s">
        <v>17</v>
      </c>
      <c r="M170" t="s">
        <v>18</v>
      </c>
      <c r="N170" t="s">
        <v>35</v>
      </c>
      <c r="O170">
        <v>3.7</v>
      </c>
      <c r="P170" t="s">
        <v>44</v>
      </c>
      <c r="Q170">
        <v>2025</v>
      </c>
    </row>
    <row r="171" spans="1:17" hidden="1" x14ac:dyDescent="0.3">
      <c r="A171" t="s">
        <v>15</v>
      </c>
      <c r="B171" t="s">
        <v>449</v>
      </c>
      <c r="C171">
        <v>1462</v>
      </c>
      <c r="D171">
        <v>16</v>
      </c>
      <c r="E171"/>
      <c r="F171">
        <v>1024</v>
      </c>
      <c r="G171">
        <v>200</v>
      </c>
      <c r="H171"/>
      <c r="I171">
        <v>5500</v>
      </c>
      <c r="J171">
        <v>6.3</v>
      </c>
      <c r="K171">
        <v>120</v>
      </c>
      <c r="L171" t="s">
        <v>38</v>
      </c>
      <c r="M171" t="s">
        <v>18</v>
      </c>
      <c r="N171" t="s">
        <v>31</v>
      </c>
      <c r="O171">
        <v>3.7</v>
      </c>
      <c r="P171" t="s">
        <v>64</v>
      </c>
      <c r="Q171">
        <v>2025</v>
      </c>
    </row>
    <row r="172" spans="1:17" hidden="1" x14ac:dyDescent="0.3">
      <c r="A172" t="s">
        <v>36</v>
      </c>
      <c r="B172" t="s">
        <v>831</v>
      </c>
      <c r="C172">
        <v>1405</v>
      </c>
      <c r="D172">
        <v>6</v>
      </c>
      <c r="E172" s="8">
        <f>C172/D172</f>
        <v>234.16666666666666</v>
      </c>
      <c r="F172">
        <v>512</v>
      </c>
      <c r="G172">
        <v>50</v>
      </c>
      <c r="H172" s="8">
        <f>C172/G172</f>
        <v>28.1</v>
      </c>
      <c r="I172">
        <v>4000</v>
      </c>
      <c r="J172">
        <v>6.5</v>
      </c>
      <c r="K172">
        <v>120</v>
      </c>
      <c r="L172" t="s">
        <v>17</v>
      </c>
      <c r="M172" t="s">
        <v>18</v>
      </c>
      <c r="N172" t="s">
        <v>48</v>
      </c>
      <c r="O172">
        <v>3.7</v>
      </c>
      <c r="P172" t="s">
        <v>64</v>
      </c>
      <c r="Q172">
        <v>2025</v>
      </c>
    </row>
    <row r="173" spans="1:17" hidden="1" x14ac:dyDescent="0.3">
      <c r="A173" t="s">
        <v>36</v>
      </c>
      <c r="B173" t="s">
        <v>533</v>
      </c>
      <c r="C173">
        <v>1279</v>
      </c>
      <c r="D173">
        <v>16</v>
      </c>
      <c r="E173"/>
      <c r="F173">
        <v>64</v>
      </c>
      <c r="G173">
        <v>12</v>
      </c>
      <c r="H173"/>
      <c r="I173">
        <v>4500</v>
      </c>
      <c r="J173">
        <v>6.9</v>
      </c>
      <c r="K173">
        <v>18</v>
      </c>
      <c r="L173" t="s">
        <v>17</v>
      </c>
      <c r="M173" t="s">
        <v>18</v>
      </c>
      <c r="N173" t="s">
        <v>23</v>
      </c>
      <c r="O173">
        <v>3.7</v>
      </c>
      <c r="P173" t="s">
        <v>42</v>
      </c>
      <c r="Q173">
        <v>2025</v>
      </c>
    </row>
    <row r="174" spans="1:17" hidden="1" x14ac:dyDescent="0.3">
      <c r="A174" t="s">
        <v>49</v>
      </c>
      <c r="B174" t="s">
        <v>575</v>
      </c>
      <c r="C174">
        <v>1189</v>
      </c>
      <c r="D174">
        <v>16</v>
      </c>
      <c r="E174"/>
      <c r="F174">
        <v>256</v>
      </c>
      <c r="G174">
        <v>64</v>
      </c>
      <c r="H174"/>
      <c r="I174">
        <v>6000</v>
      </c>
      <c r="J174">
        <v>6.4</v>
      </c>
      <c r="K174">
        <v>44</v>
      </c>
      <c r="L174" t="s">
        <v>17</v>
      </c>
      <c r="M174" t="s">
        <v>18</v>
      </c>
      <c r="N174" t="s">
        <v>27</v>
      </c>
      <c r="O174">
        <v>3.7</v>
      </c>
      <c r="P174" t="s">
        <v>28</v>
      </c>
      <c r="Q174">
        <v>2025</v>
      </c>
    </row>
    <row r="175" spans="1:17" hidden="1" x14ac:dyDescent="0.3">
      <c r="A175" t="s">
        <v>15</v>
      </c>
      <c r="B175" t="s">
        <v>732</v>
      </c>
      <c r="C175">
        <v>1209</v>
      </c>
      <c r="D175">
        <v>16</v>
      </c>
      <c r="E175" s="8">
        <f>C175/D175</f>
        <v>75.5625</v>
      </c>
      <c r="F175">
        <v>512</v>
      </c>
      <c r="G175">
        <v>200</v>
      </c>
      <c r="H175" s="8">
        <f>C175/G175</f>
        <v>6.0449999999999999</v>
      </c>
      <c r="I175">
        <v>4000</v>
      </c>
      <c r="J175">
        <v>6.7</v>
      </c>
      <c r="K175">
        <v>120</v>
      </c>
      <c r="L175" t="s">
        <v>17</v>
      </c>
      <c r="M175" t="s">
        <v>18</v>
      </c>
      <c r="N175" t="s">
        <v>31</v>
      </c>
      <c r="O175">
        <v>3.7</v>
      </c>
      <c r="P175" t="s">
        <v>82</v>
      </c>
      <c r="Q175">
        <v>2025</v>
      </c>
    </row>
    <row r="176" spans="1:17" hidden="1" x14ac:dyDescent="0.3">
      <c r="A176" t="s">
        <v>21</v>
      </c>
      <c r="B176" t="s">
        <v>613</v>
      </c>
      <c r="C176">
        <v>471</v>
      </c>
      <c r="D176">
        <v>16</v>
      </c>
      <c r="E176"/>
      <c r="F176">
        <v>256</v>
      </c>
      <c r="G176">
        <v>200</v>
      </c>
      <c r="H176"/>
      <c r="I176">
        <v>5000</v>
      </c>
      <c r="J176">
        <v>7.1</v>
      </c>
      <c r="K176">
        <v>44</v>
      </c>
      <c r="L176" t="s">
        <v>17</v>
      </c>
      <c r="M176" t="s">
        <v>18</v>
      </c>
      <c r="N176" t="s">
        <v>35</v>
      </c>
      <c r="O176">
        <v>3.7</v>
      </c>
      <c r="P176" t="s">
        <v>28</v>
      </c>
      <c r="Q176">
        <v>2025</v>
      </c>
    </row>
    <row r="177" spans="1:17" hidden="1" x14ac:dyDescent="0.3">
      <c r="A177" t="s">
        <v>15</v>
      </c>
      <c r="B177" t="s">
        <v>661</v>
      </c>
      <c r="C177">
        <v>1225</v>
      </c>
      <c r="D177">
        <v>16</v>
      </c>
      <c r="E177"/>
      <c r="F177">
        <v>1024</v>
      </c>
      <c r="G177">
        <v>108</v>
      </c>
      <c r="H177"/>
      <c r="I177">
        <v>4000</v>
      </c>
      <c r="J177">
        <v>6</v>
      </c>
      <c r="K177">
        <v>65</v>
      </c>
      <c r="L177" t="s">
        <v>17</v>
      </c>
      <c r="M177" t="s">
        <v>18</v>
      </c>
      <c r="N177" t="s">
        <v>19</v>
      </c>
      <c r="O177">
        <v>3.7</v>
      </c>
      <c r="P177" t="s">
        <v>42</v>
      </c>
      <c r="Q177">
        <v>2025</v>
      </c>
    </row>
    <row r="178" spans="1:17" hidden="1" x14ac:dyDescent="0.3">
      <c r="A178" t="s">
        <v>66</v>
      </c>
      <c r="B178" t="s">
        <v>704</v>
      </c>
      <c r="C178">
        <v>138</v>
      </c>
      <c r="D178">
        <v>16</v>
      </c>
      <c r="E178"/>
      <c r="F178">
        <v>64</v>
      </c>
      <c r="G178">
        <v>50</v>
      </c>
      <c r="H178"/>
      <c r="I178">
        <v>4000</v>
      </c>
      <c r="J178">
        <v>6.3</v>
      </c>
      <c r="K178">
        <v>44</v>
      </c>
      <c r="L178" t="s">
        <v>17</v>
      </c>
      <c r="M178" t="s">
        <v>18</v>
      </c>
      <c r="N178" t="s">
        <v>27</v>
      </c>
      <c r="O178">
        <v>3.7</v>
      </c>
      <c r="P178" t="s">
        <v>28</v>
      </c>
      <c r="Q178">
        <v>2025</v>
      </c>
    </row>
    <row r="179" spans="1:17" hidden="1" x14ac:dyDescent="0.3">
      <c r="A179" t="s">
        <v>32</v>
      </c>
      <c r="B179" t="s">
        <v>267</v>
      </c>
      <c r="C179">
        <v>1087</v>
      </c>
      <c r="D179">
        <v>8</v>
      </c>
      <c r="E179" s="8">
        <f>C179/D179</f>
        <v>135.875</v>
      </c>
      <c r="F179">
        <v>128</v>
      </c>
      <c r="G179">
        <v>64</v>
      </c>
      <c r="H179" s="8">
        <f>C179/G179</f>
        <v>16.984375</v>
      </c>
      <c r="I179">
        <v>6000</v>
      </c>
      <c r="J179">
        <v>6.9</v>
      </c>
      <c r="K179">
        <v>120</v>
      </c>
      <c r="L179" t="s">
        <v>17</v>
      </c>
      <c r="M179" t="s">
        <v>34</v>
      </c>
      <c r="N179" t="s">
        <v>51</v>
      </c>
      <c r="O179">
        <v>3.7</v>
      </c>
      <c r="P179" t="s">
        <v>20</v>
      </c>
      <c r="Q179">
        <v>2025</v>
      </c>
    </row>
    <row r="180" spans="1:17" hidden="1" x14ac:dyDescent="0.3">
      <c r="A180" t="s">
        <v>15</v>
      </c>
      <c r="B180" t="s">
        <v>803</v>
      </c>
      <c r="C180">
        <v>521</v>
      </c>
      <c r="D180">
        <v>16</v>
      </c>
      <c r="E180"/>
      <c r="F180">
        <v>256</v>
      </c>
      <c r="G180">
        <v>48</v>
      </c>
      <c r="H180"/>
      <c r="I180">
        <v>4000</v>
      </c>
      <c r="J180">
        <v>6.1</v>
      </c>
      <c r="K180">
        <v>18</v>
      </c>
      <c r="L180" t="s">
        <v>38</v>
      </c>
      <c r="M180" t="s">
        <v>18</v>
      </c>
      <c r="N180" t="s">
        <v>27</v>
      </c>
      <c r="O180">
        <v>3.7</v>
      </c>
      <c r="P180" t="s">
        <v>54</v>
      </c>
      <c r="Q180">
        <v>2025</v>
      </c>
    </row>
    <row r="181" spans="1:17" hidden="1" x14ac:dyDescent="0.3">
      <c r="A181" t="s">
        <v>66</v>
      </c>
      <c r="B181" t="s">
        <v>917</v>
      </c>
      <c r="C181">
        <v>429</v>
      </c>
      <c r="D181">
        <v>16</v>
      </c>
      <c r="E181"/>
      <c r="F181">
        <v>1024</v>
      </c>
      <c r="G181">
        <v>200</v>
      </c>
      <c r="H181"/>
      <c r="I181">
        <v>4000</v>
      </c>
      <c r="J181">
        <v>5.8</v>
      </c>
      <c r="K181">
        <v>44</v>
      </c>
      <c r="L181" t="s">
        <v>38</v>
      </c>
      <c r="M181" t="s">
        <v>18</v>
      </c>
      <c r="N181" t="s">
        <v>19</v>
      </c>
      <c r="O181">
        <v>3.7</v>
      </c>
      <c r="P181" t="s">
        <v>56</v>
      </c>
      <c r="Q181">
        <v>2025</v>
      </c>
    </row>
    <row r="182" spans="1:17" hidden="1" x14ac:dyDescent="0.3">
      <c r="A182" t="s">
        <v>66</v>
      </c>
      <c r="B182" t="s">
        <v>241</v>
      </c>
      <c r="C182">
        <v>1375</v>
      </c>
      <c r="D182">
        <v>4</v>
      </c>
      <c r="E182"/>
      <c r="F182">
        <v>1024</v>
      </c>
      <c r="G182">
        <v>200</v>
      </c>
      <c r="H182"/>
      <c r="I182">
        <v>6000</v>
      </c>
      <c r="J182">
        <v>5.8</v>
      </c>
      <c r="K182">
        <v>33</v>
      </c>
      <c r="L182" t="s">
        <v>38</v>
      </c>
      <c r="M182" t="s">
        <v>18</v>
      </c>
      <c r="N182" t="s">
        <v>19</v>
      </c>
      <c r="O182">
        <v>3.8</v>
      </c>
      <c r="P182" t="s">
        <v>20</v>
      </c>
      <c r="Q182">
        <v>2025</v>
      </c>
    </row>
    <row r="183" spans="1:17" hidden="1" x14ac:dyDescent="0.3">
      <c r="A183" t="s">
        <v>25</v>
      </c>
      <c r="B183" t="s">
        <v>307</v>
      </c>
      <c r="C183">
        <v>1196</v>
      </c>
      <c r="D183">
        <v>4</v>
      </c>
      <c r="E183"/>
      <c r="F183">
        <v>64</v>
      </c>
      <c r="G183">
        <v>64</v>
      </c>
      <c r="H183"/>
      <c r="I183">
        <v>5500</v>
      </c>
      <c r="J183">
        <v>6.3</v>
      </c>
      <c r="K183">
        <v>100</v>
      </c>
      <c r="L183" t="s">
        <v>38</v>
      </c>
      <c r="M183" t="s">
        <v>18</v>
      </c>
      <c r="N183" t="s">
        <v>31</v>
      </c>
      <c r="O183">
        <v>3.8</v>
      </c>
      <c r="P183" t="s">
        <v>64</v>
      </c>
      <c r="Q183">
        <v>2025</v>
      </c>
    </row>
    <row r="184" spans="1:17" hidden="1" x14ac:dyDescent="0.3">
      <c r="A184" t="s">
        <v>25</v>
      </c>
      <c r="B184" t="s">
        <v>310</v>
      </c>
      <c r="C184">
        <v>1449</v>
      </c>
      <c r="D184">
        <v>4</v>
      </c>
      <c r="E184"/>
      <c r="F184">
        <v>512</v>
      </c>
      <c r="G184">
        <v>200</v>
      </c>
      <c r="H184"/>
      <c r="I184">
        <v>6000</v>
      </c>
      <c r="J184">
        <v>6.2</v>
      </c>
      <c r="K184">
        <v>18</v>
      </c>
      <c r="L184" t="s">
        <v>38</v>
      </c>
      <c r="M184" t="s">
        <v>18</v>
      </c>
      <c r="N184" t="s">
        <v>61</v>
      </c>
      <c r="O184">
        <v>3.8</v>
      </c>
      <c r="P184" t="s">
        <v>82</v>
      </c>
      <c r="Q184">
        <v>2025</v>
      </c>
    </row>
    <row r="185" spans="1:17" x14ac:dyDescent="0.3">
      <c r="A185" t="s">
        <v>25</v>
      </c>
      <c r="B185" t="s">
        <v>100</v>
      </c>
      <c r="C185">
        <v>1408</v>
      </c>
      <c r="D185">
        <v>12</v>
      </c>
      <c r="E185" s="8">
        <f t="shared" ref="E185:E186" si="14">C185/D185</f>
        <v>117.33333333333333</v>
      </c>
      <c r="F185">
        <v>512</v>
      </c>
      <c r="G185">
        <v>64</v>
      </c>
      <c r="H185" s="8">
        <f t="shared" ref="H185:H186" si="15">C185/G185</f>
        <v>22</v>
      </c>
      <c r="I185">
        <v>6000</v>
      </c>
      <c r="J185">
        <v>6.9</v>
      </c>
      <c r="K185">
        <v>18</v>
      </c>
      <c r="L185" t="s">
        <v>38</v>
      </c>
      <c r="M185" t="s">
        <v>18</v>
      </c>
      <c r="N185" t="s">
        <v>31</v>
      </c>
      <c r="O185">
        <v>3.8</v>
      </c>
      <c r="P185" t="s">
        <v>44</v>
      </c>
      <c r="Q185">
        <v>2025</v>
      </c>
    </row>
    <row r="186" spans="1:17" x14ac:dyDescent="0.3">
      <c r="A186" t="s">
        <v>21</v>
      </c>
      <c r="B186" t="s">
        <v>1016</v>
      </c>
      <c r="C186">
        <v>1034</v>
      </c>
      <c r="D186">
        <v>12</v>
      </c>
      <c r="E186" s="8">
        <f t="shared" si="14"/>
        <v>86.166666666666671</v>
      </c>
      <c r="F186">
        <v>512</v>
      </c>
      <c r="G186">
        <v>64</v>
      </c>
      <c r="H186" s="8">
        <f t="shared" si="15"/>
        <v>16.15625</v>
      </c>
      <c r="I186">
        <v>5000</v>
      </c>
      <c r="J186">
        <v>7</v>
      </c>
      <c r="K186">
        <v>18</v>
      </c>
      <c r="L186" t="s">
        <v>38</v>
      </c>
      <c r="M186" t="s">
        <v>18</v>
      </c>
      <c r="N186" t="s">
        <v>35</v>
      </c>
      <c r="O186">
        <v>3.8</v>
      </c>
      <c r="P186" t="s">
        <v>56</v>
      </c>
      <c r="Q186">
        <v>2025</v>
      </c>
    </row>
    <row r="187" spans="1:17" hidden="1" x14ac:dyDescent="0.3">
      <c r="A187" t="s">
        <v>32</v>
      </c>
      <c r="B187" t="s">
        <v>443</v>
      </c>
      <c r="C187">
        <v>545</v>
      </c>
      <c r="D187">
        <v>4</v>
      </c>
      <c r="E187"/>
      <c r="F187">
        <v>256</v>
      </c>
      <c r="G187">
        <v>64</v>
      </c>
      <c r="H187"/>
      <c r="I187">
        <v>5000</v>
      </c>
      <c r="J187">
        <v>5.7</v>
      </c>
      <c r="K187">
        <v>44</v>
      </c>
      <c r="L187" t="s">
        <v>17</v>
      </c>
      <c r="M187" t="s">
        <v>34</v>
      </c>
      <c r="N187" t="s">
        <v>19</v>
      </c>
      <c r="O187">
        <v>3.8</v>
      </c>
      <c r="P187" t="s">
        <v>46</v>
      </c>
      <c r="Q187">
        <v>2025</v>
      </c>
    </row>
    <row r="188" spans="1:17" hidden="1" x14ac:dyDescent="0.3">
      <c r="A188" t="s">
        <v>49</v>
      </c>
      <c r="B188" t="s">
        <v>559</v>
      </c>
      <c r="C188">
        <v>1381</v>
      </c>
      <c r="D188">
        <v>4</v>
      </c>
      <c r="E188"/>
      <c r="F188">
        <v>64</v>
      </c>
      <c r="G188">
        <v>48</v>
      </c>
      <c r="H188"/>
      <c r="I188">
        <v>5500</v>
      </c>
      <c r="J188">
        <v>5.6</v>
      </c>
      <c r="K188">
        <v>100</v>
      </c>
      <c r="L188" t="s">
        <v>38</v>
      </c>
      <c r="M188" t="s">
        <v>18</v>
      </c>
      <c r="N188" t="s">
        <v>48</v>
      </c>
      <c r="O188">
        <v>3.8</v>
      </c>
      <c r="P188" t="s">
        <v>20</v>
      </c>
      <c r="Q188">
        <v>2025</v>
      </c>
    </row>
    <row r="189" spans="1:17" x14ac:dyDescent="0.3">
      <c r="A189" t="s">
        <v>25</v>
      </c>
      <c r="B189" t="s">
        <v>929</v>
      </c>
      <c r="C189">
        <v>560</v>
      </c>
      <c r="D189">
        <v>6</v>
      </c>
      <c r="E189" s="8">
        <f t="shared" ref="E189:E190" si="16">C189/D189</f>
        <v>93.333333333333329</v>
      </c>
      <c r="F189">
        <v>1024</v>
      </c>
      <c r="G189">
        <v>50</v>
      </c>
      <c r="H189" s="8">
        <f t="shared" ref="H189:H190" si="17">C189/G189</f>
        <v>11.2</v>
      </c>
      <c r="I189">
        <v>6000</v>
      </c>
      <c r="J189">
        <v>6.9</v>
      </c>
      <c r="K189">
        <v>33</v>
      </c>
      <c r="L189" t="s">
        <v>38</v>
      </c>
      <c r="M189" t="s">
        <v>18</v>
      </c>
      <c r="N189" t="s">
        <v>23</v>
      </c>
      <c r="O189">
        <v>3.8</v>
      </c>
      <c r="P189" t="s">
        <v>42</v>
      </c>
      <c r="Q189">
        <v>2025</v>
      </c>
    </row>
    <row r="190" spans="1:17" hidden="1" x14ac:dyDescent="0.3">
      <c r="A190" t="s">
        <v>15</v>
      </c>
      <c r="B190" t="s">
        <v>345</v>
      </c>
      <c r="C190">
        <v>501</v>
      </c>
      <c r="D190">
        <v>6</v>
      </c>
      <c r="E190" s="8">
        <f t="shared" si="16"/>
        <v>83.5</v>
      </c>
      <c r="F190">
        <v>256</v>
      </c>
      <c r="G190">
        <v>108</v>
      </c>
      <c r="H190" s="8">
        <f t="shared" si="17"/>
        <v>4.6388888888888893</v>
      </c>
      <c r="I190">
        <v>4500</v>
      </c>
      <c r="J190">
        <v>5.7</v>
      </c>
      <c r="K190">
        <v>65</v>
      </c>
      <c r="L190" t="s">
        <v>17</v>
      </c>
      <c r="M190" t="s">
        <v>18</v>
      </c>
      <c r="N190" t="s">
        <v>23</v>
      </c>
      <c r="O190">
        <v>3.8</v>
      </c>
      <c r="P190" t="s">
        <v>42</v>
      </c>
      <c r="Q190">
        <v>2025</v>
      </c>
    </row>
    <row r="191" spans="1:17" hidden="1" x14ac:dyDescent="0.3">
      <c r="A191" t="s">
        <v>32</v>
      </c>
      <c r="B191" t="s">
        <v>610</v>
      </c>
      <c r="C191">
        <v>497</v>
      </c>
      <c r="D191">
        <v>4</v>
      </c>
      <c r="E191"/>
      <c r="F191">
        <v>128</v>
      </c>
      <c r="G191">
        <v>50</v>
      </c>
      <c r="H191"/>
      <c r="I191">
        <v>4500</v>
      </c>
      <c r="J191">
        <v>5.9</v>
      </c>
      <c r="K191">
        <v>33</v>
      </c>
      <c r="L191" t="s">
        <v>17</v>
      </c>
      <c r="M191" t="s">
        <v>34</v>
      </c>
      <c r="N191" t="s">
        <v>61</v>
      </c>
      <c r="O191">
        <v>3.8</v>
      </c>
      <c r="P191" t="s">
        <v>56</v>
      </c>
      <c r="Q191">
        <v>2025</v>
      </c>
    </row>
    <row r="192" spans="1:17" hidden="1" x14ac:dyDescent="0.3">
      <c r="A192" t="s">
        <v>66</v>
      </c>
      <c r="B192" t="s">
        <v>654</v>
      </c>
      <c r="C192">
        <v>1427</v>
      </c>
      <c r="D192">
        <v>4</v>
      </c>
      <c r="E192"/>
      <c r="F192">
        <v>128</v>
      </c>
      <c r="G192">
        <v>200</v>
      </c>
      <c r="H192"/>
      <c r="I192">
        <v>5000</v>
      </c>
      <c r="J192">
        <v>6.9</v>
      </c>
      <c r="K192">
        <v>33</v>
      </c>
      <c r="L192" t="s">
        <v>17</v>
      </c>
      <c r="M192" t="s">
        <v>18</v>
      </c>
      <c r="N192" t="s">
        <v>35</v>
      </c>
      <c r="O192">
        <v>3.8</v>
      </c>
      <c r="P192" t="s">
        <v>64</v>
      </c>
      <c r="Q192">
        <v>2025</v>
      </c>
    </row>
    <row r="193" spans="1:17" hidden="1" x14ac:dyDescent="0.3">
      <c r="A193" t="s">
        <v>15</v>
      </c>
      <c r="B193" t="s">
        <v>674</v>
      </c>
      <c r="C193">
        <v>875</v>
      </c>
      <c r="D193">
        <v>4</v>
      </c>
      <c r="E193"/>
      <c r="F193">
        <v>64</v>
      </c>
      <c r="G193">
        <v>48</v>
      </c>
      <c r="H193"/>
      <c r="I193">
        <v>4000</v>
      </c>
      <c r="J193">
        <v>7.2</v>
      </c>
      <c r="K193">
        <v>33</v>
      </c>
      <c r="L193" t="s">
        <v>38</v>
      </c>
      <c r="M193" t="s">
        <v>18</v>
      </c>
      <c r="N193" t="s">
        <v>23</v>
      </c>
      <c r="O193">
        <v>3.8</v>
      </c>
      <c r="P193" t="s">
        <v>42</v>
      </c>
      <c r="Q193">
        <v>2025</v>
      </c>
    </row>
    <row r="194" spans="1:17" hidden="1" x14ac:dyDescent="0.3">
      <c r="A194" t="s">
        <v>29</v>
      </c>
      <c r="B194" t="s">
        <v>344</v>
      </c>
      <c r="C194">
        <v>604</v>
      </c>
      <c r="D194">
        <v>16</v>
      </c>
      <c r="E194" s="8">
        <f t="shared" ref="E194:E195" si="18">C194/D194</f>
        <v>37.75</v>
      </c>
      <c r="F194">
        <v>512</v>
      </c>
      <c r="G194">
        <v>108</v>
      </c>
      <c r="H194" s="8">
        <f t="shared" ref="H194:H195" si="19">C194/G194</f>
        <v>5.5925925925925926</v>
      </c>
      <c r="I194">
        <v>5000</v>
      </c>
      <c r="J194">
        <v>6.4</v>
      </c>
      <c r="K194">
        <v>65</v>
      </c>
      <c r="L194" t="s">
        <v>17</v>
      </c>
      <c r="M194" t="s">
        <v>18</v>
      </c>
      <c r="N194" t="s">
        <v>19</v>
      </c>
      <c r="O194">
        <v>3.8</v>
      </c>
      <c r="P194" t="s">
        <v>64</v>
      </c>
      <c r="Q194">
        <v>2025</v>
      </c>
    </row>
    <row r="195" spans="1:17" hidden="1" x14ac:dyDescent="0.3">
      <c r="A195" t="s">
        <v>36</v>
      </c>
      <c r="B195" t="s">
        <v>678</v>
      </c>
      <c r="C195">
        <v>1303</v>
      </c>
      <c r="D195">
        <v>4</v>
      </c>
      <c r="E195" s="8">
        <f t="shared" si="18"/>
        <v>325.75</v>
      </c>
      <c r="F195">
        <v>512</v>
      </c>
      <c r="G195">
        <v>108</v>
      </c>
      <c r="H195" s="8">
        <f t="shared" si="19"/>
        <v>12.064814814814815</v>
      </c>
      <c r="I195">
        <v>5500</v>
      </c>
      <c r="J195">
        <v>6.6</v>
      </c>
      <c r="K195">
        <v>65</v>
      </c>
      <c r="L195" t="s">
        <v>17</v>
      </c>
      <c r="M195" t="s">
        <v>18</v>
      </c>
      <c r="N195" t="s">
        <v>51</v>
      </c>
      <c r="O195">
        <v>3.8</v>
      </c>
      <c r="P195" t="s">
        <v>64</v>
      </c>
      <c r="Q195">
        <v>2025</v>
      </c>
    </row>
    <row r="196" spans="1:17" hidden="1" x14ac:dyDescent="0.3">
      <c r="A196" t="s">
        <v>40</v>
      </c>
      <c r="B196" t="s">
        <v>715</v>
      </c>
      <c r="C196">
        <v>1466</v>
      </c>
      <c r="D196">
        <v>4</v>
      </c>
      <c r="E196"/>
      <c r="F196">
        <v>1024</v>
      </c>
      <c r="G196">
        <v>108</v>
      </c>
      <c r="H196"/>
      <c r="I196">
        <v>4500</v>
      </c>
      <c r="J196">
        <v>6.9</v>
      </c>
      <c r="K196">
        <v>120</v>
      </c>
      <c r="L196" t="s">
        <v>38</v>
      </c>
      <c r="M196" t="s">
        <v>18</v>
      </c>
      <c r="N196" t="s">
        <v>61</v>
      </c>
      <c r="O196">
        <v>3.8</v>
      </c>
      <c r="P196" t="s">
        <v>44</v>
      </c>
      <c r="Q196">
        <v>2025</v>
      </c>
    </row>
    <row r="197" spans="1:17" hidden="1" x14ac:dyDescent="0.3">
      <c r="A197" t="s">
        <v>29</v>
      </c>
      <c r="B197" t="s">
        <v>973</v>
      </c>
      <c r="C197">
        <v>128</v>
      </c>
      <c r="D197">
        <v>4</v>
      </c>
      <c r="E197"/>
      <c r="F197">
        <v>512</v>
      </c>
      <c r="G197">
        <v>48</v>
      </c>
      <c r="H197"/>
      <c r="I197">
        <v>5000</v>
      </c>
      <c r="J197">
        <v>5.6</v>
      </c>
      <c r="K197">
        <v>18</v>
      </c>
      <c r="L197" t="s">
        <v>17</v>
      </c>
      <c r="M197" t="s">
        <v>18</v>
      </c>
      <c r="N197" t="s">
        <v>19</v>
      </c>
      <c r="O197">
        <v>3.8</v>
      </c>
      <c r="P197" t="s">
        <v>24</v>
      </c>
      <c r="Q197">
        <v>2025</v>
      </c>
    </row>
    <row r="198" spans="1:17" hidden="1" x14ac:dyDescent="0.3">
      <c r="A198" t="s">
        <v>40</v>
      </c>
      <c r="B198" t="s">
        <v>59</v>
      </c>
      <c r="C198">
        <v>1467</v>
      </c>
      <c r="D198">
        <v>6</v>
      </c>
      <c r="E198"/>
      <c r="F198">
        <v>128</v>
      </c>
      <c r="G198">
        <v>48</v>
      </c>
      <c r="H198"/>
      <c r="I198">
        <v>6000</v>
      </c>
      <c r="J198">
        <v>6.3</v>
      </c>
      <c r="K198">
        <v>18</v>
      </c>
      <c r="L198" t="s">
        <v>38</v>
      </c>
      <c r="M198" t="s">
        <v>18</v>
      </c>
      <c r="N198" t="s">
        <v>48</v>
      </c>
      <c r="O198">
        <v>3.8</v>
      </c>
      <c r="P198" t="s">
        <v>28</v>
      </c>
      <c r="Q198">
        <v>2025</v>
      </c>
    </row>
    <row r="199" spans="1:17" hidden="1" x14ac:dyDescent="0.3">
      <c r="A199" t="s">
        <v>49</v>
      </c>
      <c r="B199" t="s">
        <v>65</v>
      </c>
      <c r="C199">
        <v>1247</v>
      </c>
      <c r="D199">
        <v>6</v>
      </c>
      <c r="E199"/>
      <c r="F199">
        <v>1024</v>
      </c>
      <c r="G199">
        <v>12</v>
      </c>
      <c r="H199"/>
      <c r="I199">
        <v>5000</v>
      </c>
      <c r="J199">
        <v>5.6</v>
      </c>
      <c r="K199">
        <v>65</v>
      </c>
      <c r="L199" t="s">
        <v>38</v>
      </c>
      <c r="M199" t="s">
        <v>18</v>
      </c>
      <c r="N199" t="s">
        <v>19</v>
      </c>
      <c r="O199">
        <v>3.8</v>
      </c>
      <c r="P199" t="s">
        <v>64</v>
      </c>
      <c r="Q199">
        <v>2025</v>
      </c>
    </row>
    <row r="200" spans="1:17" hidden="1" x14ac:dyDescent="0.3">
      <c r="A200" t="s">
        <v>21</v>
      </c>
      <c r="B200" t="s">
        <v>563</v>
      </c>
      <c r="C200">
        <v>1150</v>
      </c>
      <c r="D200">
        <v>4</v>
      </c>
      <c r="E200" s="8">
        <f>C200/D200</f>
        <v>287.5</v>
      </c>
      <c r="F200">
        <v>128</v>
      </c>
      <c r="G200">
        <v>50</v>
      </c>
      <c r="H200" s="8">
        <f>C200/G200</f>
        <v>23</v>
      </c>
      <c r="I200">
        <v>4000</v>
      </c>
      <c r="J200">
        <v>5.7</v>
      </c>
      <c r="K200">
        <v>100</v>
      </c>
      <c r="L200" t="s">
        <v>17</v>
      </c>
      <c r="M200" t="s">
        <v>18</v>
      </c>
      <c r="N200" t="s">
        <v>51</v>
      </c>
      <c r="O200">
        <v>3.8</v>
      </c>
      <c r="P200" t="s">
        <v>46</v>
      </c>
      <c r="Q200">
        <v>2025</v>
      </c>
    </row>
    <row r="201" spans="1:17" hidden="1" x14ac:dyDescent="0.3">
      <c r="A201" t="s">
        <v>15</v>
      </c>
      <c r="B201" t="s">
        <v>386</v>
      </c>
      <c r="C201">
        <v>544</v>
      </c>
      <c r="D201">
        <v>6</v>
      </c>
      <c r="E201"/>
      <c r="F201">
        <v>1024</v>
      </c>
      <c r="G201">
        <v>64</v>
      </c>
      <c r="H201"/>
      <c r="I201">
        <v>5000</v>
      </c>
      <c r="J201">
        <v>6.5</v>
      </c>
      <c r="K201">
        <v>100</v>
      </c>
      <c r="L201" t="s">
        <v>17</v>
      </c>
      <c r="M201" t="s">
        <v>18</v>
      </c>
      <c r="N201" t="s">
        <v>23</v>
      </c>
      <c r="O201">
        <v>3.8</v>
      </c>
      <c r="P201" t="s">
        <v>56</v>
      </c>
      <c r="Q201">
        <v>2025</v>
      </c>
    </row>
    <row r="202" spans="1:17" hidden="1" x14ac:dyDescent="0.3">
      <c r="A202" t="s">
        <v>29</v>
      </c>
      <c r="B202" t="s">
        <v>471</v>
      </c>
      <c r="C202">
        <v>981</v>
      </c>
      <c r="D202">
        <v>6</v>
      </c>
      <c r="E202"/>
      <c r="F202">
        <v>256</v>
      </c>
      <c r="G202">
        <v>50</v>
      </c>
      <c r="H202"/>
      <c r="I202">
        <v>4500</v>
      </c>
      <c r="J202">
        <v>5.8</v>
      </c>
      <c r="K202">
        <v>33</v>
      </c>
      <c r="L202" t="s">
        <v>38</v>
      </c>
      <c r="M202" t="s">
        <v>18</v>
      </c>
      <c r="N202" t="s">
        <v>23</v>
      </c>
      <c r="O202">
        <v>3.8</v>
      </c>
      <c r="P202" t="s">
        <v>46</v>
      </c>
      <c r="Q202">
        <v>2025</v>
      </c>
    </row>
    <row r="203" spans="1:17" hidden="1" x14ac:dyDescent="0.3">
      <c r="A203" t="s">
        <v>36</v>
      </c>
      <c r="B203" t="s">
        <v>507</v>
      </c>
      <c r="C203">
        <v>600</v>
      </c>
      <c r="D203">
        <v>6</v>
      </c>
      <c r="E203" s="8">
        <f>C203/D203</f>
        <v>100</v>
      </c>
      <c r="F203">
        <v>512</v>
      </c>
      <c r="G203">
        <v>108</v>
      </c>
      <c r="H203" s="8">
        <f>C203/G203</f>
        <v>5.5555555555555554</v>
      </c>
      <c r="I203">
        <v>6000</v>
      </c>
      <c r="J203">
        <v>5.9</v>
      </c>
      <c r="K203">
        <v>100</v>
      </c>
      <c r="L203" t="s">
        <v>17</v>
      </c>
      <c r="M203" t="s">
        <v>18</v>
      </c>
      <c r="N203" t="s">
        <v>61</v>
      </c>
      <c r="O203">
        <v>3.8</v>
      </c>
      <c r="P203" t="s">
        <v>42</v>
      </c>
      <c r="Q203">
        <v>2025</v>
      </c>
    </row>
    <row r="204" spans="1:17" hidden="1" x14ac:dyDescent="0.3">
      <c r="A204" t="s">
        <v>40</v>
      </c>
      <c r="B204" t="s">
        <v>604</v>
      </c>
      <c r="C204">
        <v>318</v>
      </c>
      <c r="D204">
        <v>6</v>
      </c>
      <c r="E204"/>
      <c r="F204">
        <v>64</v>
      </c>
      <c r="G204">
        <v>50</v>
      </c>
      <c r="H204"/>
      <c r="I204">
        <v>4500</v>
      </c>
      <c r="J204">
        <v>5.7</v>
      </c>
      <c r="K204">
        <v>44</v>
      </c>
      <c r="L204" t="s">
        <v>17</v>
      </c>
      <c r="M204" t="s">
        <v>18</v>
      </c>
      <c r="N204" t="s">
        <v>48</v>
      </c>
      <c r="O204">
        <v>3.8</v>
      </c>
      <c r="P204" t="s">
        <v>44</v>
      </c>
      <c r="Q204">
        <v>2025</v>
      </c>
    </row>
    <row r="205" spans="1:17" hidden="1" x14ac:dyDescent="0.3">
      <c r="A205" t="s">
        <v>29</v>
      </c>
      <c r="B205" t="s">
        <v>627</v>
      </c>
      <c r="C205">
        <v>1325</v>
      </c>
      <c r="D205">
        <v>6</v>
      </c>
      <c r="E205"/>
      <c r="F205">
        <v>1024</v>
      </c>
      <c r="G205">
        <v>200</v>
      </c>
      <c r="H205"/>
      <c r="I205">
        <v>5500</v>
      </c>
      <c r="J205">
        <v>6.9</v>
      </c>
      <c r="K205">
        <v>100</v>
      </c>
      <c r="L205" t="s">
        <v>38</v>
      </c>
      <c r="M205" t="s">
        <v>18</v>
      </c>
      <c r="N205" t="s">
        <v>19</v>
      </c>
      <c r="O205">
        <v>3.8</v>
      </c>
      <c r="P205" t="s">
        <v>42</v>
      </c>
      <c r="Q205">
        <v>2025</v>
      </c>
    </row>
    <row r="206" spans="1:17" hidden="1" x14ac:dyDescent="0.3">
      <c r="A206" t="s">
        <v>29</v>
      </c>
      <c r="B206" t="s">
        <v>841</v>
      </c>
      <c r="C206">
        <v>1384</v>
      </c>
      <c r="D206">
        <v>6</v>
      </c>
      <c r="E206"/>
      <c r="F206">
        <v>256</v>
      </c>
      <c r="G206">
        <v>200</v>
      </c>
      <c r="H206"/>
      <c r="I206">
        <v>4500</v>
      </c>
      <c r="J206">
        <v>7</v>
      </c>
      <c r="K206">
        <v>100</v>
      </c>
      <c r="L206" t="s">
        <v>38</v>
      </c>
      <c r="M206" t="s">
        <v>18</v>
      </c>
      <c r="N206" t="s">
        <v>31</v>
      </c>
      <c r="O206">
        <v>3.8</v>
      </c>
      <c r="P206" t="s">
        <v>82</v>
      </c>
      <c r="Q206">
        <v>2025</v>
      </c>
    </row>
    <row r="207" spans="1:17" hidden="1" x14ac:dyDescent="0.3">
      <c r="A207" t="s">
        <v>21</v>
      </c>
      <c r="B207" t="s">
        <v>441</v>
      </c>
      <c r="C207">
        <v>502</v>
      </c>
      <c r="D207">
        <v>4</v>
      </c>
      <c r="E207" s="8">
        <f>C207/D207</f>
        <v>125.5</v>
      </c>
      <c r="F207">
        <v>512</v>
      </c>
      <c r="G207">
        <v>108</v>
      </c>
      <c r="H207" s="8">
        <f>C207/G207</f>
        <v>4.6481481481481479</v>
      </c>
      <c r="I207">
        <v>5500</v>
      </c>
      <c r="J207">
        <v>6.4</v>
      </c>
      <c r="K207">
        <v>100</v>
      </c>
      <c r="L207" t="s">
        <v>17</v>
      </c>
      <c r="M207" t="s">
        <v>18</v>
      </c>
      <c r="N207" t="s">
        <v>48</v>
      </c>
      <c r="O207">
        <v>3.8</v>
      </c>
      <c r="P207" t="s">
        <v>28</v>
      </c>
      <c r="Q207">
        <v>2025</v>
      </c>
    </row>
    <row r="208" spans="1:17" hidden="1" x14ac:dyDescent="0.3">
      <c r="A208" t="s">
        <v>66</v>
      </c>
      <c r="B208" t="s">
        <v>67</v>
      </c>
      <c r="C208">
        <v>1392</v>
      </c>
      <c r="D208">
        <v>8</v>
      </c>
      <c r="E208"/>
      <c r="F208">
        <v>128</v>
      </c>
      <c r="G208">
        <v>108</v>
      </c>
      <c r="H208"/>
      <c r="I208">
        <v>4500</v>
      </c>
      <c r="J208">
        <v>7.1</v>
      </c>
      <c r="K208">
        <v>44</v>
      </c>
      <c r="L208" t="s">
        <v>17</v>
      </c>
      <c r="M208" t="s">
        <v>18</v>
      </c>
      <c r="N208" t="s">
        <v>23</v>
      </c>
      <c r="O208">
        <v>3.8</v>
      </c>
      <c r="P208" t="s">
        <v>56</v>
      </c>
      <c r="Q208">
        <v>2025</v>
      </c>
    </row>
    <row r="209" spans="1:17" hidden="1" x14ac:dyDescent="0.3">
      <c r="A209" t="s">
        <v>32</v>
      </c>
      <c r="B209" t="s">
        <v>569</v>
      </c>
      <c r="C209">
        <v>1204</v>
      </c>
      <c r="D209">
        <v>4</v>
      </c>
      <c r="E209" s="8">
        <f>C209/D209</f>
        <v>301</v>
      </c>
      <c r="F209">
        <v>128</v>
      </c>
      <c r="G209">
        <v>200</v>
      </c>
      <c r="H209" s="8">
        <f>C209/G209</f>
        <v>6.02</v>
      </c>
      <c r="I209">
        <v>4500</v>
      </c>
      <c r="J209">
        <v>6.4</v>
      </c>
      <c r="K209">
        <v>100</v>
      </c>
      <c r="L209" t="s">
        <v>17</v>
      </c>
      <c r="M209" t="s">
        <v>34</v>
      </c>
      <c r="N209" t="s">
        <v>19</v>
      </c>
      <c r="O209">
        <v>3.8</v>
      </c>
      <c r="P209" t="s">
        <v>20</v>
      </c>
      <c r="Q209">
        <v>2025</v>
      </c>
    </row>
    <row r="210" spans="1:17" hidden="1" x14ac:dyDescent="0.3">
      <c r="A210" t="s">
        <v>25</v>
      </c>
      <c r="B210" t="s">
        <v>285</v>
      </c>
      <c r="C210">
        <v>997</v>
      </c>
      <c r="D210">
        <v>8</v>
      </c>
      <c r="E210"/>
      <c r="F210">
        <v>128</v>
      </c>
      <c r="G210">
        <v>200</v>
      </c>
      <c r="H210"/>
      <c r="I210">
        <v>6000</v>
      </c>
      <c r="J210">
        <v>6</v>
      </c>
      <c r="K210">
        <v>44</v>
      </c>
      <c r="L210" t="s">
        <v>17</v>
      </c>
      <c r="M210" t="s">
        <v>18</v>
      </c>
      <c r="N210" t="s">
        <v>61</v>
      </c>
      <c r="O210">
        <v>3.8</v>
      </c>
      <c r="P210" t="s">
        <v>42</v>
      </c>
      <c r="Q210">
        <v>2025</v>
      </c>
    </row>
    <row r="211" spans="1:17" hidden="1" x14ac:dyDescent="0.3">
      <c r="A211" t="s">
        <v>21</v>
      </c>
      <c r="B211" t="s">
        <v>329</v>
      </c>
      <c r="C211">
        <v>1122</v>
      </c>
      <c r="D211">
        <v>8</v>
      </c>
      <c r="E211"/>
      <c r="F211">
        <v>128</v>
      </c>
      <c r="G211">
        <v>48</v>
      </c>
      <c r="H211"/>
      <c r="I211">
        <v>5500</v>
      </c>
      <c r="J211">
        <v>6</v>
      </c>
      <c r="K211">
        <v>120</v>
      </c>
      <c r="L211" t="s">
        <v>17</v>
      </c>
      <c r="M211" t="s">
        <v>18</v>
      </c>
      <c r="N211" t="s">
        <v>48</v>
      </c>
      <c r="O211">
        <v>3.8</v>
      </c>
      <c r="P211" t="s">
        <v>39</v>
      </c>
      <c r="Q211">
        <v>2025</v>
      </c>
    </row>
    <row r="212" spans="1:17" hidden="1" x14ac:dyDescent="0.3">
      <c r="A212" t="s">
        <v>29</v>
      </c>
      <c r="B212" t="s">
        <v>371</v>
      </c>
      <c r="C212">
        <v>1425</v>
      </c>
      <c r="D212">
        <v>8</v>
      </c>
      <c r="E212"/>
      <c r="F212">
        <v>256</v>
      </c>
      <c r="G212">
        <v>64</v>
      </c>
      <c r="H212"/>
      <c r="I212">
        <v>6000</v>
      </c>
      <c r="J212">
        <v>5.8</v>
      </c>
      <c r="K212">
        <v>65</v>
      </c>
      <c r="L212" t="s">
        <v>38</v>
      </c>
      <c r="M212" t="s">
        <v>18</v>
      </c>
      <c r="N212" t="s">
        <v>35</v>
      </c>
      <c r="O212">
        <v>3.8</v>
      </c>
      <c r="P212" t="s">
        <v>56</v>
      </c>
      <c r="Q212">
        <v>2025</v>
      </c>
    </row>
    <row r="213" spans="1:17" hidden="1" x14ac:dyDescent="0.3">
      <c r="A213" t="s">
        <v>15</v>
      </c>
      <c r="B213" t="s">
        <v>546</v>
      </c>
      <c r="C213">
        <v>1322</v>
      </c>
      <c r="D213">
        <v>8</v>
      </c>
      <c r="E213"/>
      <c r="F213">
        <v>256</v>
      </c>
      <c r="G213">
        <v>12</v>
      </c>
      <c r="H213"/>
      <c r="I213">
        <v>6000</v>
      </c>
      <c r="J213">
        <v>5.8</v>
      </c>
      <c r="K213">
        <v>18</v>
      </c>
      <c r="L213" t="s">
        <v>17</v>
      </c>
      <c r="M213" t="s">
        <v>18</v>
      </c>
      <c r="N213" t="s">
        <v>61</v>
      </c>
      <c r="O213">
        <v>3.8</v>
      </c>
      <c r="P213" t="s">
        <v>71</v>
      </c>
      <c r="Q213">
        <v>2025</v>
      </c>
    </row>
    <row r="214" spans="1:17" hidden="1" x14ac:dyDescent="0.3">
      <c r="A214" t="s">
        <v>32</v>
      </c>
      <c r="B214" t="s">
        <v>550</v>
      </c>
      <c r="C214">
        <v>336</v>
      </c>
      <c r="D214">
        <v>8</v>
      </c>
      <c r="E214"/>
      <c r="F214">
        <v>512</v>
      </c>
      <c r="G214">
        <v>64</v>
      </c>
      <c r="H214"/>
      <c r="I214">
        <v>4500</v>
      </c>
      <c r="J214">
        <v>6.3</v>
      </c>
      <c r="K214">
        <v>120</v>
      </c>
      <c r="L214" t="s">
        <v>17</v>
      </c>
      <c r="M214" t="s">
        <v>34</v>
      </c>
      <c r="N214" t="s">
        <v>23</v>
      </c>
      <c r="O214">
        <v>3.8</v>
      </c>
      <c r="P214" t="s">
        <v>24</v>
      </c>
      <c r="Q214">
        <v>2025</v>
      </c>
    </row>
    <row r="215" spans="1:17" hidden="1" x14ac:dyDescent="0.3">
      <c r="A215" t="s">
        <v>36</v>
      </c>
      <c r="B215" t="s">
        <v>730</v>
      </c>
      <c r="C215">
        <v>1121</v>
      </c>
      <c r="D215">
        <v>8</v>
      </c>
      <c r="E215"/>
      <c r="F215">
        <v>128</v>
      </c>
      <c r="G215">
        <v>200</v>
      </c>
      <c r="H215"/>
      <c r="I215">
        <v>4500</v>
      </c>
      <c r="J215">
        <v>6.7</v>
      </c>
      <c r="K215">
        <v>100</v>
      </c>
      <c r="L215" t="s">
        <v>38</v>
      </c>
      <c r="M215" t="s">
        <v>18</v>
      </c>
      <c r="N215" t="s">
        <v>27</v>
      </c>
      <c r="O215">
        <v>3.8</v>
      </c>
      <c r="P215" t="s">
        <v>82</v>
      </c>
      <c r="Q215">
        <v>2025</v>
      </c>
    </row>
    <row r="216" spans="1:17" hidden="1" x14ac:dyDescent="0.3">
      <c r="A216" t="s">
        <v>29</v>
      </c>
      <c r="B216" t="s">
        <v>752</v>
      </c>
      <c r="C216">
        <v>427</v>
      </c>
      <c r="D216">
        <v>8</v>
      </c>
      <c r="E216"/>
      <c r="F216">
        <v>512</v>
      </c>
      <c r="G216">
        <v>48</v>
      </c>
      <c r="H216"/>
      <c r="I216">
        <v>5000</v>
      </c>
      <c r="J216">
        <v>5.8</v>
      </c>
      <c r="K216">
        <v>100</v>
      </c>
      <c r="L216" t="s">
        <v>38</v>
      </c>
      <c r="M216" t="s">
        <v>18</v>
      </c>
      <c r="N216" t="s">
        <v>27</v>
      </c>
      <c r="O216">
        <v>3.8</v>
      </c>
      <c r="P216" t="s">
        <v>46</v>
      </c>
      <c r="Q216">
        <v>2025</v>
      </c>
    </row>
    <row r="217" spans="1:17" hidden="1" x14ac:dyDescent="0.3">
      <c r="A217" t="s">
        <v>29</v>
      </c>
      <c r="B217" t="s">
        <v>819</v>
      </c>
      <c r="C217">
        <v>1479</v>
      </c>
      <c r="D217">
        <v>8</v>
      </c>
      <c r="E217"/>
      <c r="F217">
        <v>256</v>
      </c>
      <c r="G217">
        <v>48</v>
      </c>
      <c r="H217"/>
      <c r="I217">
        <v>4000</v>
      </c>
      <c r="J217">
        <v>6.6</v>
      </c>
      <c r="K217">
        <v>33</v>
      </c>
      <c r="L217" t="s">
        <v>17</v>
      </c>
      <c r="M217" t="s">
        <v>18</v>
      </c>
      <c r="N217" t="s">
        <v>23</v>
      </c>
      <c r="O217">
        <v>3.8</v>
      </c>
      <c r="P217" t="s">
        <v>44</v>
      </c>
      <c r="Q217">
        <v>2025</v>
      </c>
    </row>
    <row r="218" spans="1:17" hidden="1" x14ac:dyDescent="0.3">
      <c r="A218" t="s">
        <v>66</v>
      </c>
      <c r="B218" t="s">
        <v>1032</v>
      </c>
      <c r="C218">
        <v>1164</v>
      </c>
      <c r="D218">
        <v>8</v>
      </c>
      <c r="E218"/>
      <c r="F218">
        <v>128</v>
      </c>
      <c r="G218">
        <v>12</v>
      </c>
      <c r="H218"/>
      <c r="I218">
        <v>5500</v>
      </c>
      <c r="J218">
        <v>5.9</v>
      </c>
      <c r="K218">
        <v>44</v>
      </c>
      <c r="L218" t="s">
        <v>38</v>
      </c>
      <c r="M218" t="s">
        <v>18</v>
      </c>
      <c r="N218" t="s">
        <v>23</v>
      </c>
      <c r="O218">
        <v>3.8</v>
      </c>
      <c r="P218" t="s">
        <v>44</v>
      </c>
      <c r="Q218">
        <v>2025</v>
      </c>
    </row>
    <row r="219" spans="1:17" x14ac:dyDescent="0.3">
      <c r="A219" t="s">
        <v>66</v>
      </c>
      <c r="B219" t="s">
        <v>827</v>
      </c>
      <c r="C219">
        <v>1406</v>
      </c>
      <c r="D219">
        <v>16</v>
      </c>
      <c r="E219" s="8">
        <f>C219/D219</f>
        <v>87.875</v>
      </c>
      <c r="F219">
        <v>1024</v>
      </c>
      <c r="G219">
        <v>200</v>
      </c>
      <c r="H219" s="8">
        <f>C219/G219</f>
        <v>7.03</v>
      </c>
      <c r="I219">
        <v>5000</v>
      </c>
      <c r="J219">
        <v>7</v>
      </c>
      <c r="K219">
        <v>100</v>
      </c>
      <c r="L219" t="s">
        <v>38</v>
      </c>
      <c r="M219" t="s">
        <v>18</v>
      </c>
      <c r="N219" t="s">
        <v>27</v>
      </c>
      <c r="O219">
        <v>3.8</v>
      </c>
      <c r="P219" t="s">
        <v>39</v>
      </c>
      <c r="Q219">
        <v>2025</v>
      </c>
    </row>
    <row r="220" spans="1:17" hidden="1" x14ac:dyDescent="0.3">
      <c r="A220" t="s">
        <v>66</v>
      </c>
      <c r="B220" t="s">
        <v>106</v>
      </c>
      <c r="C220">
        <v>1119</v>
      </c>
      <c r="D220">
        <v>12</v>
      </c>
      <c r="E220"/>
      <c r="F220">
        <v>1024</v>
      </c>
      <c r="G220">
        <v>108</v>
      </c>
      <c r="H220"/>
      <c r="I220">
        <v>5000</v>
      </c>
      <c r="J220">
        <v>6.1</v>
      </c>
      <c r="K220">
        <v>18</v>
      </c>
      <c r="L220" t="s">
        <v>38</v>
      </c>
      <c r="M220" t="s">
        <v>18</v>
      </c>
      <c r="N220" t="s">
        <v>27</v>
      </c>
      <c r="O220">
        <v>3.8</v>
      </c>
      <c r="P220" t="s">
        <v>24</v>
      </c>
      <c r="Q220">
        <v>2025</v>
      </c>
    </row>
    <row r="221" spans="1:17" hidden="1" x14ac:dyDescent="0.3">
      <c r="A221" t="s">
        <v>15</v>
      </c>
      <c r="B221" t="s">
        <v>183</v>
      </c>
      <c r="C221">
        <v>1141</v>
      </c>
      <c r="D221">
        <v>12</v>
      </c>
      <c r="E221"/>
      <c r="F221">
        <v>64</v>
      </c>
      <c r="G221">
        <v>12</v>
      </c>
      <c r="H221"/>
      <c r="I221">
        <v>5000</v>
      </c>
      <c r="J221">
        <v>5.6</v>
      </c>
      <c r="K221">
        <v>100</v>
      </c>
      <c r="L221" t="s">
        <v>17</v>
      </c>
      <c r="M221" t="s">
        <v>18</v>
      </c>
      <c r="N221" t="s">
        <v>23</v>
      </c>
      <c r="O221">
        <v>3.8</v>
      </c>
      <c r="P221" t="s">
        <v>64</v>
      </c>
      <c r="Q221">
        <v>2025</v>
      </c>
    </row>
    <row r="222" spans="1:17" hidden="1" x14ac:dyDescent="0.3">
      <c r="A222" t="s">
        <v>15</v>
      </c>
      <c r="B222" t="s">
        <v>255</v>
      </c>
      <c r="C222">
        <v>1414</v>
      </c>
      <c r="D222">
        <v>12</v>
      </c>
      <c r="E222"/>
      <c r="F222">
        <v>128</v>
      </c>
      <c r="G222">
        <v>12</v>
      </c>
      <c r="H222"/>
      <c r="I222">
        <v>5500</v>
      </c>
      <c r="J222">
        <v>6.2</v>
      </c>
      <c r="K222">
        <v>65</v>
      </c>
      <c r="L222" t="s">
        <v>38</v>
      </c>
      <c r="M222" t="s">
        <v>18</v>
      </c>
      <c r="N222" t="s">
        <v>31</v>
      </c>
      <c r="O222">
        <v>3.8</v>
      </c>
      <c r="P222" t="s">
        <v>42</v>
      </c>
      <c r="Q222">
        <v>2025</v>
      </c>
    </row>
    <row r="223" spans="1:17" hidden="1" x14ac:dyDescent="0.3">
      <c r="A223" t="s">
        <v>36</v>
      </c>
      <c r="B223" t="s">
        <v>277</v>
      </c>
      <c r="C223">
        <v>928</v>
      </c>
      <c r="D223">
        <v>12</v>
      </c>
      <c r="E223"/>
      <c r="F223">
        <v>256</v>
      </c>
      <c r="G223">
        <v>48</v>
      </c>
      <c r="H223"/>
      <c r="I223">
        <v>4000</v>
      </c>
      <c r="J223">
        <v>6.4</v>
      </c>
      <c r="K223">
        <v>33</v>
      </c>
      <c r="L223" t="s">
        <v>17</v>
      </c>
      <c r="M223" t="s">
        <v>18</v>
      </c>
      <c r="N223" t="s">
        <v>35</v>
      </c>
      <c r="O223">
        <v>3.8</v>
      </c>
      <c r="P223" t="s">
        <v>28</v>
      </c>
      <c r="Q223">
        <v>2025</v>
      </c>
    </row>
    <row r="224" spans="1:17" hidden="1" x14ac:dyDescent="0.3">
      <c r="A224" t="s">
        <v>36</v>
      </c>
      <c r="B224" t="s">
        <v>341</v>
      </c>
      <c r="C224">
        <v>1138</v>
      </c>
      <c r="D224">
        <v>12</v>
      </c>
      <c r="E224"/>
      <c r="F224">
        <v>256</v>
      </c>
      <c r="G224">
        <v>12</v>
      </c>
      <c r="H224"/>
      <c r="I224">
        <v>4500</v>
      </c>
      <c r="J224">
        <v>6.1</v>
      </c>
      <c r="K224">
        <v>33</v>
      </c>
      <c r="L224" t="s">
        <v>38</v>
      </c>
      <c r="M224" t="s">
        <v>18</v>
      </c>
      <c r="N224" t="s">
        <v>19</v>
      </c>
      <c r="O224">
        <v>3.8</v>
      </c>
      <c r="P224" t="s">
        <v>64</v>
      </c>
      <c r="Q224">
        <v>2025</v>
      </c>
    </row>
    <row r="225" spans="1:17" hidden="1" x14ac:dyDescent="0.3">
      <c r="A225" t="s">
        <v>25</v>
      </c>
      <c r="B225" t="s">
        <v>368</v>
      </c>
      <c r="C225">
        <v>182</v>
      </c>
      <c r="D225">
        <v>12</v>
      </c>
      <c r="E225"/>
      <c r="F225">
        <v>64</v>
      </c>
      <c r="G225">
        <v>200</v>
      </c>
      <c r="H225"/>
      <c r="I225">
        <v>5000</v>
      </c>
      <c r="J225">
        <v>6</v>
      </c>
      <c r="K225">
        <v>18</v>
      </c>
      <c r="L225" t="s">
        <v>38</v>
      </c>
      <c r="M225" t="s">
        <v>18</v>
      </c>
      <c r="N225" t="s">
        <v>23</v>
      </c>
      <c r="O225">
        <v>3.8</v>
      </c>
      <c r="P225" t="s">
        <v>56</v>
      </c>
      <c r="Q225">
        <v>2025</v>
      </c>
    </row>
    <row r="226" spans="1:17" hidden="1" x14ac:dyDescent="0.3">
      <c r="A226" t="s">
        <v>66</v>
      </c>
      <c r="B226" t="s">
        <v>445</v>
      </c>
      <c r="C226">
        <v>491</v>
      </c>
      <c r="D226">
        <v>12</v>
      </c>
      <c r="E226"/>
      <c r="F226">
        <v>128</v>
      </c>
      <c r="G226">
        <v>64</v>
      </c>
      <c r="H226"/>
      <c r="I226">
        <v>5500</v>
      </c>
      <c r="J226">
        <v>6</v>
      </c>
      <c r="K226">
        <v>100</v>
      </c>
      <c r="L226" t="s">
        <v>17</v>
      </c>
      <c r="M226" t="s">
        <v>18</v>
      </c>
      <c r="N226" t="s">
        <v>51</v>
      </c>
      <c r="O226">
        <v>3.8</v>
      </c>
      <c r="P226" t="s">
        <v>82</v>
      </c>
      <c r="Q226">
        <v>2025</v>
      </c>
    </row>
    <row r="227" spans="1:17" x14ac:dyDescent="0.3">
      <c r="A227" t="s">
        <v>40</v>
      </c>
      <c r="B227" t="s">
        <v>710</v>
      </c>
      <c r="C227">
        <v>109</v>
      </c>
      <c r="D227">
        <v>4</v>
      </c>
      <c r="E227" s="8">
        <f>C227/D227</f>
        <v>27.25</v>
      </c>
      <c r="F227">
        <v>1024</v>
      </c>
      <c r="G227">
        <v>108</v>
      </c>
      <c r="H227" s="8">
        <f>C227/G227</f>
        <v>1.0092592592592593</v>
      </c>
      <c r="I227">
        <v>4500</v>
      </c>
      <c r="J227">
        <v>7.1</v>
      </c>
      <c r="K227">
        <v>100</v>
      </c>
      <c r="L227" t="s">
        <v>38</v>
      </c>
      <c r="M227" t="s">
        <v>18</v>
      </c>
      <c r="N227" t="s">
        <v>31</v>
      </c>
      <c r="O227">
        <v>3.8</v>
      </c>
      <c r="P227" t="s">
        <v>56</v>
      </c>
      <c r="Q227">
        <v>2025</v>
      </c>
    </row>
    <row r="228" spans="1:17" hidden="1" x14ac:dyDescent="0.3">
      <c r="A228" t="s">
        <v>32</v>
      </c>
      <c r="B228" t="s">
        <v>623</v>
      </c>
      <c r="C228">
        <v>727</v>
      </c>
      <c r="D228">
        <v>12</v>
      </c>
      <c r="E228"/>
      <c r="F228">
        <v>512</v>
      </c>
      <c r="G228">
        <v>64</v>
      </c>
      <c r="H228"/>
      <c r="I228">
        <v>5000</v>
      </c>
      <c r="J228">
        <v>6.9</v>
      </c>
      <c r="K228">
        <v>65</v>
      </c>
      <c r="L228" t="s">
        <v>38</v>
      </c>
      <c r="M228" t="s">
        <v>34</v>
      </c>
      <c r="N228" t="s">
        <v>19</v>
      </c>
      <c r="O228">
        <v>3.8</v>
      </c>
      <c r="P228" t="s">
        <v>46</v>
      </c>
      <c r="Q228">
        <v>2025</v>
      </c>
    </row>
    <row r="229" spans="1:17" hidden="1" x14ac:dyDescent="0.3">
      <c r="A229" t="s">
        <v>32</v>
      </c>
      <c r="B229" t="s">
        <v>796</v>
      </c>
      <c r="C229">
        <v>154</v>
      </c>
      <c r="D229">
        <v>12</v>
      </c>
      <c r="E229"/>
      <c r="F229">
        <v>64</v>
      </c>
      <c r="G229">
        <v>108</v>
      </c>
      <c r="H229"/>
      <c r="I229">
        <v>4000</v>
      </c>
      <c r="J229">
        <v>6.4</v>
      </c>
      <c r="K229">
        <v>65</v>
      </c>
      <c r="L229" t="s">
        <v>17</v>
      </c>
      <c r="M229" t="s">
        <v>34</v>
      </c>
      <c r="N229" t="s">
        <v>35</v>
      </c>
      <c r="O229">
        <v>3.8</v>
      </c>
      <c r="P229" t="s">
        <v>64</v>
      </c>
      <c r="Q229">
        <v>2025</v>
      </c>
    </row>
    <row r="230" spans="1:17" hidden="1" x14ac:dyDescent="0.3">
      <c r="A230" t="s">
        <v>40</v>
      </c>
      <c r="B230" t="s">
        <v>824</v>
      </c>
      <c r="C230">
        <v>777</v>
      </c>
      <c r="D230">
        <v>12</v>
      </c>
      <c r="E230"/>
      <c r="F230">
        <v>512</v>
      </c>
      <c r="G230">
        <v>12</v>
      </c>
      <c r="H230"/>
      <c r="I230">
        <v>4500</v>
      </c>
      <c r="J230">
        <v>5.8</v>
      </c>
      <c r="K230">
        <v>44</v>
      </c>
      <c r="L230" t="s">
        <v>17</v>
      </c>
      <c r="M230" t="s">
        <v>18</v>
      </c>
      <c r="N230" t="s">
        <v>35</v>
      </c>
      <c r="O230">
        <v>3.8</v>
      </c>
      <c r="P230" t="s">
        <v>46</v>
      </c>
      <c r="Q230">
        <v>2025</v>
      </c>
    </row>
    <row r="231" spans="1:17" hidden="1" x14ac:dyDescent="0.3">
      <c r="A231" t="s">
        <v>66</v>
      </c>
      <c r="B231" t="s">
        <v>832</v>
      </c>
      <c r="C231">
        <v>134</v>
      </c>
      <c r="D231">
        <v>12</v>
      </c>
      <c r="E231"/>
      <c r="F231">
        <v>64</v>
      </c>
      <c r="G231">
        <v>48</v>
      </c>
      <c r="H231"/>
      <c r="I231">
        <v>4000</v>
      </c>
      <c r="J231">
        <v>6.3</v>
      </c>
      <c r="K231">
        <v>18</v>
      </c>
      <c r="L231" t="s">
        <v>17</v>
      </c>
      <c r="M231" t="s">
        <v>18</v>
      </c>
      <c r="N231" t="s">
        <v>31</v>
      </c>
      <c r="O231">
        <v>3.8</v>
      </c>
      <c r="P231" t="s">
        <v>24</v>
      </c>
      <c r="Q231">
        <v>2025</v>
      </c>
    </row>
    <row r="232" spans="1:17" hidden="1" x14ac:dyDescent="0.3">
      <c r="A232" t="s">
        <v>40</v>
      </c>
      <c r="B232" t="s">
        <v>945</v>
      </c>
      <c r="C232">
        <v>189</v>
      </c>
      <c r="D232">
        <v>12</v>
      </c>
      <c r="E232"/>
      <c r="F232">
        <v>1024</v>
      </c>
      <c r="G232">
        <v>48</v>
      </c>
      <c r="H232"/>
      <c r="I232">
        <v>4500</v>
      </c>
      <c r="J232">
        <v>6.5</v>
      </c>
      <c r="K232">
        <v>33</v>
      </c>
      <c r="L232" t="s">
        <v>17</v>
      </c>
      <c r="M232" t="s">
        <v>18</v>
      </c>
      <c r="N232" t="s">
        <v>51</v>
      </c>
      <c r="O232">
        <v>3.8</v>
      </c>
      <c r="P232" t="s">
        <v>56</v>
      </c>
      <c r="Q232">
        <v>2025</v>
      </c>
    </row>
    <row r="233" spans="1:17" hidden="1" x14ac:dyDescent="0.3">
      <c r="A233" t="s">
        <v>49</v>
      </c>
      <c r="B233" t="s">
        <v>547</v>
      </c>
      <c r="C233">
        <v>400</v>
      </c>
      <c r="D233">
        <v>12</v>
      </c>
      <c r="E233" s="8">
        <f>C233/D233</f>
        <v>33.333333333333336</v>
      </c>
      <c r="F233">
        <v>1024</v>
      </c>
      <c r="G233">
        <v>108</v>
      </c>
      <c r="H233" s="8">
        <f>C233/G233</f>
        <v>3.7037037037037037</v>
      </c>
      <c r="I233">
        <v>6000</v>
      </c>
      <c r="J233">
        <v>7.2</v>
      </c>
      <c r="K233">
        <v>100</v>
      </c>
      <c r="L233" t="s">
        <v>17</v>
      </c>
      <c r="M233" t="s">
        <v>18</v>
      </c>
      <c r="N233" t="s">
        <v>31</v>
      </c>
      <c r="O233">
        <v>3.8</v>
      </c>
      <c r="P233" t="s">
        <v>54</v>
      </c>
      <c r="Q233">
        <v>2025</v>
      </c>
    </row>
    <row r="234" spans="1:17" hidden="1" x14ac:dyDescent="0.3">
      <c r="A234" t="s">
        <v>15</v>
      </c>
      <c r="B234" t="s">
        <v>16</v>
      </c>
      <c r="C234">
        <v>855</v>
      </c>
      <c r="D234">
        <v>16</v>
      </c>
      <c r="E234"/>
      <c r="F234">
        <v>128</v>
      </c>
      <c r="G234">
        <v>108</v>
      </c>
      <c r="H234"/>
      <c r="I234">
        <v>6000</v>
      </c>
      <c r="J234">
        <v>6.6</v>
      </c>
      <c r="K234">
        <v>33</v>
      </c>
      <c r="L234" t="s">
        <v>17</v>
      </c>
      <c r="M234" t="s">
        <v>18</v>
      </c>
      <c r="N234" t="s">
        <v>19</v>
      </c>
      <c r="O234">
        <v>3.8</v>
      </c>
      <c r="P234" t="s">
        <v>20</v>
      </c>
      <c r="Q234">
        <v>2025</v>
      </c>
    </row>
    <row r="235" spans="1:17" hidden="1" x14ac:dyDescent="0.3">
      <c r="A235" t="s">
        <v>29</v>
      </c>
      <c r="B235" t="s">
        <v>98</v>
      </c>
      <c r="C235">
        <v>467</v>
      </c>
      <c r="D235">
        <v>16</v>
      </c>
      <c r="E235"/>
      <c r="F235">
        <v>1024</v>
      </c>
      <c r="G235">
        <v>48</v>
      </c>
      <c r="H235"/>
      <c r="I235">
        <v>4500</v>
      </c>
      <c r="J235">
        <v>5.7</v>
      </c>
      <c r="K235">
        <v>33</v>
      </c>
      <c r="L235" t="s">
        <v>38</v>
      </c>
      <c r="M235" t="s">
        <v>18</v>
      </c>
      <c r="N235" t="s">
        <v>19</v>
      </c>
      <c r="O235">
        <v>3.8</v>
      </c>
      <c r="P235" t="s">
        <v>20</v>
      </c>
      <c r="Q235">
        <v>2025</v>
      </c>
    </row>
    <row r="236" spans="1:17" hidden="1" x14ac:dyDescent="0.3">
      <c r="A236" t="s">
        <v>29</v>
      </c>
      <c r="B236" t="s">
        <v>155</v>
      </c>
      <c r="C236">
        <v>161</v>
      </c>
      <c r="D236">
        <v>16</v>
      </c>
      <c r="E236"/>
      <c r="F236">
        <v>64</v>
      </c>
      <c r="G236">
        <v>64</v>
      </c>
      <c r="H236"/>
      <c r="I236">
        <v>5000</v>
      </c>
      <c r="J236">
        <v>7.2</v>
      </c>
      <c r="K236">
        <v>44</v>
      </c>
      <c r="L236" t="s">
        <v>17</v>
      </c>
      <c r="M236" t="s">
        <v>18</v>
      </c>
      <c r="N236" t="s">
        <v>23</v>
      </c>
      <c r="O236">
        <v>3.8</v>
      </c>
      <c r="P236" t="s">
        <v>24</v>
      </c>
      <c r="Q236">
        <v>2025</v>
      </c>
    </row>
    <row r="237" spans="1:17" hidden="1" x14ac:dyDescent="0.3">
      <c r="A237" t="s">
        <v>15</v>
      </c>
      <c r="B237" t="s">
        <v>184</v>
      </c>
      <c r="C237">
        <v>444</v>
      </c>
      <c r="D237">
        <v>16</v>
      </c>
      <c r="E237"/>
      <c r="F237">
        <v>64</v>
      </c>
      <c r="G237">
        <v>48</v>
      </c>
      <c r="H237"/>
      <c r="I237">
        <v>4500</v>
      </c>
      <c r="J237">
        <v>7</v>
      </c>
      <c r="K237">
        <v>120</v>
      </c>
      <c r="L237" t="s">
        <v>17</v>
      </c>
      <c r="M237" t="s">
        <v>18</v>
      </c>
      <c r="N237" t="s">
        <v>23</v>
      </c>
      <c r="O237">
        <v>3.8</v>
      </c>
      <c r="P237" t="s">
        <v>20</v>
      </c>
      <c r="Q237">
        <v>2025</v>
      </c>
    </row>
    <row r="238" spans="1:17" hidden="1" x14ac:dyDescent="0.3">
      <c r="A238" t="s">
        <v>32</v>
      </c>
      <c r="B238" t="s">
        <v>257</v>
      </c>
      <c r="C238">
        <v>768</v>
      </c>
      <c r="D238">
        <v>16</v>
      </c>
      <c r="E238"/>
      <c r="F238">
        <v>256</v>
      </c>
      <c r="G238">
        <v>50</v>
      </c>
      <c r="H238"/>
      <c r="I238">
        <v>6000</v>
      </c>
      <c r="J238">
        <v>6.6</v>
      </c>
      <c r="K238">
        <v>33</v>
      </c>
      <c r="L238" t="s">
        <v>38</v>
      </c>
      <c r="M238" t="s">
        <v>34</v>
      </c>
      <c r="N238" t="s">
        <v>31</v>
      </c>
      <c r="O238">
        <v>3.8</v>
      </c>
      <c r="P238" t="s">
        <v>71</v>
      </c>
      <c r="Q238">
        <v>2025</v>
      </c>
    </row>
    <row r="239" spans="1:17" hidden="1" x14ac:dyDescent="0.3">
      <c r="A239" t="s">
        <v>25</v>
      </c>
      <c r="B239" t="s">
        <v>287</v>
      </c>
      <c r="C239">
        <v>1336</v>
      </c>
      <c r="D239">
        <v>16</v>
      </c>
      <c r="E239"/>
      <c r="F239">
        <v>256</v>
      </c>
      <c r="G239">
        <v>48</v>
      </c>
      <c r="H239"/>
      <c r="I239">
        <v>6000</v>
      </c>
      <c r="J239">
        <v>6.6</v>
      </c>
      <c r="K239">
        <v>120</v>
      </c>
      <c r="L239" t="s">
        <v>38</v>
      </c>
      <c r="M239" t="s">
        <v>18</v>
      </c>
      <c r="N239" t="s">
        <v>51</v>
      </c>
      <c r="O239">
        <v>3.8</v>
      </c>
      <c r="P239" t="s">
        <v>64</v>
      </c>
      <c r="Q239">
        <v>2025</v>
      </c>
    </row>
    <row r="240" spans="1:17" hidden="1" x14ac:dyDescent="0.3">
      <c r="A240" t="s">
        <v>25</v>
      </c>
      <c r="B240" t="s">
        <v>199</v>
      </c>
      <c r="C240">
        <v>803</v>
      </c>
      <c r="D240">
        <v>8</v>
      </c>
      <c r="E240" s="8">
        <f>C240/D240</f>
        <v>100.375</v>
      </c>
      <c r="F240">
        <v>128</v>
      </c>
      <c r="G240">
        <v>200</v>
      </c>
      <c r="H240" s="8">
        <f>C240/G240</f>
        <v>4.0149999999999997</v>
      </c>
      <c r="I240">
        <v>4500</v>
      </c>
      <c r="J240">
        <v>5.7</v>
      </c>
      <c r="K240">
        <v>120</v>
      </c>
      <c r="L240" t="s">
        <v>17</v>
      </c>
      <c r="M240" t="s">
        <v>18</v>
      </c>
      <c r="N240" t="s">
        <v>31</v>
      </c>
      <c r="O240">
        <v>3.8</v>
      </c>
      <c r="P240" t="s">
        <v>64</v>
      </c>
      <c r="Q240">
        <v>2025</v>
      </c>
    </row>
    <row r="241" spans="1:17" hidden="1" x14ac:dyDescent="0.3">
      <c r="A241" t="s">
        <v>15</v>
      </c>
      <c r="B241" t="s">
        <v>363</v>
      </c>
      <c r="C241">
        <v>682</v>
      </c>
      <c r="D241">
        <v>16</v>
      </c>
      <c r="E241"/>
      <c r="F241">
        <v>128</v>
      </c>
      <c r="G241">
        <v>108</v>
      </c>
      <c r="H241"/>
      <c r="I241">
        <v>5000</v>
      </c>
      <c r="J241">
        <v>7.2</v>
      </c>
      <c r="K241">
        <v>65</v>
      </c>
      <c r="L241" t="s">
        <v>17</v>
      </c>
      <c r="M241" t="s">
        <v>18</v>
      </c>
      <c r="N241" t="s">
        <v>48</v>
      </c>
      <c r="O241">
        <v>3.8</v>
      </c>
      <c r="P241" t="s">
        <v>56</v>
      </c>
      <c r="Q241">
        <v>2025</v>
      </c>
    </row>
    <row r="242" spans="1:17" hidden="1" x14ac:dyDescent="0.3">
      <c r="A242" t="s">
        <v>49</v>
      </c>
      <c r="B242" t="s">
        <v>380</v>
      </c>
      <c r="C242">
        <v>917</v>
      </c>
      <c r="D242">
        <v>16</v>
      </c>
      <c r="E242"/>
      <c r="F242">
        <v>64</v>
      </c>
      <c r="G242">
        <v>64</v>
      </c>
      <c r="H242"/>
      <c r="I242">
        <v>6000</v>
      </c>
      <c r="J242">
        <v>6.2</v>
      </c>
      <c r="K242">
        <v>120</v>
      </c>
      <c r="L242" t="s">
        <v>17</v>
      </c>
      <c r="M242" t="s">
        <v>18</v>
      </c>
      <c r="N242" t="s">
        <v>51</v>
      </c>
      <c r="O242">
        <v>3.8</v>
      </c>
      <c r="P242" t="s">
        <v>24</v>
      </c>
      <c r="Q242">
        <v>2025</v>
      </c>
    </row>
    <row r="243" spans="1:17" hidden="1" x14ac:dyDescent="0.3">
      <c r="A243" t="s">
        <v>25</v>
      </c>
      <c r="B243" t="s">
        <v>484</v>
      </c>
      <c r="C243">
        <v>193</v>
      </c>
      <c r="D243">
        <v>16</v>
      </c>
      <c r="E243"/>
      <c r="F243">
        <v>64</v>
      </c>
      <c r="G243">
        <v>48</v>
      </c>
      <c r="H243"/>
      <c r="I243">
        <v>5500</v>
      </c>
      <c r="J243">
        <v>6.6</v>
      </c>
      <c r="K243">
        <v>65</v>
      </c>
      <c r="L243" t="s">
        <v>17</v>
      </c>
      <c r="M243" t="s">
        <v>18</v>
      </c>
      <c r="N243" t="s">
        <v>31</v>
      </c>
      <c r="O243">
        <v>3.8</v>
      </c>
      <c r="P243" t="s">
        <v>44</v>
      </c>
      <c r="Q243">
        <v>2025</v>
      </c>
    </row>
    <row r="244" spans="1:17" hidden="1" x14ac:dyDescent="0.3">
      <c r="A244" t="s">
        <v>49</v>
      </c>
      <c r="B244" t="s">
        <v>552</v>
      </c>
      <c r="C244">
        <v>1498</v>
      </c>
      <c r="D244">
        <v>16</v>
      </c>
      <c r="E244"/>
      <c r="F244">
        <v>512</v>
      </c>
      <c r="G244">
        <v>50</v>
      </c>
      <c r="H244"/>
      <c r="I244">
        <v>5000</v>
      </c>
      <c r="J244">
        <v>5.7</v>
      </c>
      <c r="K244">
        <v>120</v>
      </c>
      <c r="L244" t="s">
        <v>17</v>
      </c>
      <c r="M244" t="s">
        <v>18</v>
      </c>
      <c r="N244" t="s">
        <v>23</v>
      </c>
      <c r="O244">
        <v>3.8</v>
      </c>
      <c r="P244" t="s">
        <v>39</v>
      </c>
      <c r="Q244">
        <v>2025</v>
      </c>
    </row>
    <row r="245" spans="1:17" hidden="1" x14ac:dyDescent="0.3">
      <c r="A245" t="s">
        <v>66</v>
      </c>
      <c r="B245" t="s">
        <v>822</v>
      </c>
      <c r="C245">
        <v>188</v>
      </c>
      <c r="D245">
        <v>16</v>
      </c>
      <c r="E245"/>
      <c r="F245">
        <v>512</v>
      </c>
      <c r="G245">
        <v>48</v>
      </c>
      <c r="H245"/>
      <c r="I245">
        <v>5500</v>
      </c>
      <c r="J245">
        <v>6.3</v>
      </c>
      <c r="K245">
        <v>33</v>
      </c>
      <c r="L245" t="s">
        <v>17</v>
      </c>
      <c r="M245" t="s">
        <v>18</v>
      </c>
      <c r="N245" t="s">
        <v>23</v>
      </c>
      <c r="O245">
        <v>3.8</v>
      </c>
      <c r="P245" t="s">
        <v>82</v>
      </c>
      <c r="Q245">
        <v>2025</v>
      </c>
    </row>
    <row r="246" spans="1:17" x14ac:dyDescent="0.3">
      <c r="A246" t="s">
        <v>36</v>
      </c>
      <c r="B246" t="s">
        <v>416</v>
      </c>
      <c r="C246">
        <v>701</v>
      </c>
      <c r="D246">
        <v>4</v>
      </c>
      <c r="E246" s="8">
        <f>C246/D246</f>
        <v>175.25</v>
      </c>
      <c r="F246">
        <v>1024</v>
      </c>
      <c r="G246">
        <v>200</v>
      </c>
      <c r="H246" s="8">
        <f>C246/G246</f>
        <v>3.5049999999999999</v>
      </c>
      <c r="I246">
        <v>5000</v>
      </c>
      <c r="J246">
        <v>6</v>
      </c>
      <c r="K246">
        <v>120</v>
      </c>
      <c r="L246" t="s">
        <v>38</v>
      </c>
      <c r="M246" t="s">
        <v>18</v>
      </c>
      <c r="N246" t="s">
        <v>31</v>
      </c>
      <c r="O246">
        <v>3.8</v>
      </c>
      <c r="P246" t="s">
        <v>28</v>
      </c>
      <c r="Q246">
        <v>2025</v>
      </c>
    </row>
    <row r="247" spans="1:17" hidden="1" x14ac:dyDescent="0.3">
      <c r="A247" t="s">
        <v>25</v>
      </c>
      <c r="B247" t="s">
        <v>834</v>
      </c>
      <c r="C247">
        <v>787</v>
      </c>
      <c r="D247">
        <v>16</v>
      </c>
      <c r="E247"/>
      <c r="F247">
        <v>1024</v>
      </c>
      <c r="G247">
        <v>64</v>
      </c>
      <c r="H247"/>
      <c r="I247">
        <v>4000</v>
      </c>
      <c r="J247">
        <v>5.5</v>
      </c>
      <c r="K247">
        <v>65</v>
      </c>
      <c r="L247" t="s">
        <v>17</v>
      </c>
      <c r="M247" t="s">
        <v>18</v>
      </c>
      <c r="N247" t="s">
        <v>19</v>
      </c>
      <c r="O247">
        <v>3.8</v>
      </c>
      <c r="P247" t="s">
        <v>64</v>
      </c>
      <c r="Q247">
        <v>2025</v>
      </c>
    </row>
    <row r="248" spans="1:17" hidden="1" x14ac:dyDescent="0.3">
      <c r="A248" t="s">
        <v>29</v>
      </c>
      <c r="B248" t="s">
        <v>839</v>
      </c>
      <c r="C248">
        <v>288</v>
      </c>
      <c r="D248">
        <v>16</v>
      </c>
      <c r="E248"/>
      <c r="F248">
        <v>256</v>
      </c>
      <c r="G248">
        <v>50</v>
      </c>
      <c r="H248"/>
      <c r="I248">
        <v>6000</v>
      </c>
      <c r="J248">
        <v>6.9</v>
      </c>
      <c r="K248">
        <v>33</v>
      </c>
      <c r="L248" t="s">
        <v>38</v>
      </c>
      <c r="M248" t="s">
        <v>18</v>
      </c>
      <c r="N248" t="s">
        <v>35</v>
      </c>
      <c r="O248">
        <v>3.8</v>
      </c>
      <c r="P248" t="s">
        <v>46</v>
      </c>
      <c r="Q248">
        <v>2025</v>
      </c>
    </row>
    <row r="249" spans="1:17" hidden="1" x14ac:dyDescent="0.3">
      <c r="A249" t="s">
        <v>40</v>
      </c>
      <c r="B249" t="s">
        <v>925</v>
      </c>
      <c r="C249">
        <v>689</v>
      </c>
      <c r="D249">
        <v>16</v>
      </c>
      <c r="E249"/>
      <c r="F249">
        <v>128</v>
      </c>
      <c r="G249">
        <v>64</v>
      </c>
      <c r="H249"/>
      <c r="I249">
        <v>6000</v>
      </c>
      <c r="J249">
        <v>5.6</v>
      </c>
      <c r="K249">
        <v>44</v>
      </c>
      <c r="L249" t="s">
        <v>17</v>
      </c>
      <c r="M249" t="s">
        <v>18</v>
      </c>
      <c r="N249" t="s">
        <v>35</v>
      </c>
      <c r="O249">
        <v>3.8</v>
      </c>
      <c r="P249" t="s">
        <v>24</v>
      </c>
      <c r="Q249">
        <v>2025</v>
      </c>
    </row>
    <row r="250" spans="1:17" hidden="1" x14ac:dyDescent="0.3">
      <c r="A250" t="s">
        <v>36</v>
      </c>
      <c r="B250" t="s">
        <v>955</v>
      </c>
      <c r="C250">
        <v>1356</v>
      </c>
      <c r="D250">
        <v>16</v>
      </c>
      <c r="E250"/>
      <c r="F250">
        <v>256</v>
      </c>
      <c r="G250">
        <v>64</v>
      </c>
      <c r="H250"/>
      <c r="I250">
        <v>6000</v>
      </c>
      <c r="J250">
        <v>7</v>
      </c>
      <c r="K250">
        <v>44</v>
      </c>
      <c r="L250" t="s">
        <v>38</v>
      </c>
      <c r="M250" t="s">
        <v>18</v>
      </c>
      <c r="N250" t="s">
        <v>61</v>
      </c>
      <c r="O250">
        <v>3.8</v>
      </c>
      <c r="P250" t="s">
        <v>24</v>
      </c>
      <c r="Q250">
        <v>2025</v>
      </c>
    </row>
    <row r="251" spans="1:17" hidden="1" x14ac:dyDescent="0.3">
      <c r="A251" t="s">
        <v>40</v>
      </c>
      <c r="B251" t="s">
        <v>1024</v>
      </c>
      <c r="C251">
        <v>1170</v>
      </c>
      <c r="D251">
        <v>16</v>
      </c>
      <c r="E251" s="8">
        <f>C251/D251</f>
        <v>73.125</v>
      </c>
      <c r="F251">
        <v>64</v>
      </c>
      <c r="G251">
        <v>50</v>
      </c>
      <c r="H251" s="8">
        <f>C251/G251</f>
        <v>23.4</v>
      </c>
      <c r="I251">
        <v>5500</v>
      </c>
      <c r="J251">
        <v>6.6</v>
      </c>
      <c r="K251">
        <v>120</v>
      </c>
      <c r="L251" t="s">
        <v>17</v>
      </c>
      <c r="M251" t="s">
        <v>18</v>
      </c>
      <c r="N251" t="s">
        <v>35</v>
      </c>
      <c r="O251">
        <v>3.8</v>
      </c>
      <c r="P251" t="s">
        <v>42</v>
      </c>
      <c r="Q251">
        <v>2025</v>
      </c>
    </row>
    <row r="252" spans="1:17" hidden="1" x14ac:dyDescent="0.3">
      <c r="A252" t="s">
        <v>66</v>
      </c>
      <c r="B252" t="s">
        <v>1025</v>
      </c>
      <c r="C252">
        <v>726</v>
      </c>
      <c r="D252">
        <v>16</v>
      </c>
      <c r="E252"/>
      <c r="F252">
        <v>64</v>
      </c>
      <c r="G252">
        <v>48</v>
      </c>
      <c r="H252"/>
      <c r="I252">
        <v>5500</v>
      </c>
      <c r="J252">
        <v>6.6</v>
      </c>
      <c r="K252">
        <v>44</v>
      </c>
      <c r="L252" t="s">
        <v>38</v>
      </c>
      <c r="M252" t="s">
        <v>18</v>
      </c>
      <c r="N252" t="s">
        <v>51</v>
      </c>
      <c r="O252">
        <v>3.8</v>
      </c>
      <c r="P252" t="s">
        <v>44</v>
      </c>
      <c r="Q252">
        <v>2025</v>
      </c>
    </row>
    <row r="253" spans="1:17" hidden="1" x14ac:dyDescent="0.3">
      <c r="A253" t="s">
        <v>29</v>
      </c>
      <c r="B253" t="s">
        <v>76</v>
      </c>
      <c r="C253">
        <v>412</v>
      </c>
      <c r="D253">
        <v>4</v>
      </c>
      <c r="E253"/>
      <c r="F253">
        <v>512</v>
      </c>
      <c r="G253">
        <v>200</v>
      </c>
      <c r="H253"/>
      <c r="I253">
        <v>4500</v>
      </c>
      <c r="J253">
        <v>6.3</v>
      </c>
      <c r="K253">
        <v>44</v>
      </c>
      <c r="L253" t="s">
        <v>38</v>
      </c>
      <c r="M253" t="s">
        <v>18</v>
      </c>
      <c r="N253" t="s">
        <v>23</v>
      </c>
      <c r="O253">
        <v>3.9</v>
      </c>
      <c r="P253" t="s">
        <v>42</v>
      </c>
      <c r="Q253">
        <v>2025</v>
      </c>
    </row>
    <row r="254" spans="1:17" hidden="1" x14ac:dyDescent="0.3">
      <c r="A254" t="s">
        <v>36</v>
      </c>
      <c r="B254" t="s">
        <v>966</v>
      </c>
      <c r="C254">
        <v>610</v>
      </c>
      <c r="D254">
        <v>8</v>
      </c>
      <c r="E254" s="8">
        <f t="shared" ref="E254:E255" si="20">C254/D254</f>
        <v>76.25</v>
      </c>
      <c r="F254">
        <v>512</v>
      </c>
      <c r="G254">
        <v>48</v>
      </c>
      <c r="H254" s="8">
        <f t="shared" ref="H254:H255" si="21">C254/G254</f>
        <v>12.708333333333334</v>
      </c>
      <c r="I254">
        <v>4500</v>
      </c>
      <c r="J254">
        <v>5.6</v>
      </c>
      <c r="K254">
        <v>18</v>
      </c>
      <c r="L254" t="s">
        <v>17</v>
      </c>
      <c r="M254" t="s">
        <v>18</v>
      </c>
      <c r="N254" t="s">
        <v>35</v>
      </c>
      <c r="O254">
        <v>3.9</v>
      </c>
      <c r="P254" t="s">
        <v>56</v>
      </c>
      <c r="Q254">
        <v>2025</v>
      </c>
    </row>
    <row r="255" spans="1:17" hidden="1" x14ac:dyDescent="0.3">
      <c r="A255" t="s">
        <v>29</v>
      </c>
      <c r="B255" t="s">
        <v>762</v>
      </c>
      <c r="C255">
        <v>210</v>
      </c>
      <c r="D255">
        <v>12</v>
      </c>
      <c r="E255" s="8">
        <f t="shared" si="20"/>
        <v>17.5</v>
      </c>
      <c r="F255">
        <v>128</v>
      </c>
      <c r="G255">
        <v>64</v>
      </c>
      <c r="H255" s="8">
        <f t="shared" si="21"/>
        <v>3.28125</v>
      </c>
      <c r="I255">
        <v>6000</v>
      </c>
      <c r="J255">
        <v>6.6</v>
      </c>
      <c r="K255">
        <v>18</v>
      </c>
      <c r="L255" t="s">
        <v>17</v>
      </c>
      <c r="M255" t="s">
        <v>18</v>
      </c>
      <c r="N255" t="s">
        <v>31</v>
      </c>
      <c r="O255">
        <v>3.9</v>
      </c>
      <c r="P255" t="s">
        <v>20</v>
      </c>
      <c r="Q255">
        <v>2025</v>
      </c>
    </row>
    <row r="256" spans="1:17" hidden="1" x14ac:dyDescent="0.3">
      <c r="A256" t="s">
        <v>15</v>
      </c>
      <c r="B256" t="s">
        <v>501</v>
      </c>
      <c r="C256">
        <v>141</v>
      </c>
      <c r="D256">
        <v>4</v>
      </c>
      <c r="E256"/>
      <c r="F256">
        <v>64</v>
      </c>
      <c r="G256">
        <v>64</v>
      </c>
      <c r="H256"/>
      <c r="I256">
        <v>5500</v>
      </c>
      <c r="J256">
        <v>6.4</v>
      </c>
      <c r="K256">
        <v>33</v>
      </c>
      <c r="L256" t="s">
        <v>38</v>
      </c>
      <c r="M256" t="s">
        <v>18</v>
      </c>
      <c r="N256" t="s">
        <v>23</v>
      </c>
      <c r="O256">
        <v>3.9</v>
      </c>
      <c r="P256" t="s">
        <v>24</v>
      </c>
      <c r="Q256">
        <v>2025</v>
      </c>
    </row>
    <row r="257" spans="1:17" hidden="1" x14ac:dyDescent="0.3">
      <c r="A257" t="s">
        <v>40</v>
      </c>
      <c r="B257" t="s">
        <v>322</v>
      </c>
      <c r="C257">
        <v>404</v>
      </c>
      <c r="D257">
        <v>6</v>
      </c>
      <c r="E257" s="8">
        <f>C257/D257</f>
        <v>67.333333333333329</v>
      </c>
      <c r="F257">
        <v>128</v>
      </c>
      <c r="G257">
        <v>48</v>
      </c>
      <c r="H257" s="8">
        <f>C257/G257</f>
        <v>8.4166666666666661</v>
      </c>
      <c r="I257">
        <v>4500</v>
      </c>
      <c r="J257">
        <v>6.9</v>
      </c>
      <c r="K257">
        <v>18</v>
      </c>
      <c r="L257" t="s">
        <v>17</v>
      </c>
      <c r="M257" t="s">
        <v>18</v>
      </c>
      <c r="N257" t="s">
        <v>31</v>
      </c>
      <c r="O257">
        <v>3.9</v>
      </c>
      <c r="P257" t="s">
        <v>39</v>
      </c>
      <c r="Q257">
        <v>2025</v>
      </c>
    </row>
    <row r="258" spans="1:17" hidden="1" x14ac:dyDescent="0.3">
      <c r="A258" t="s">
        <v>32</v>
      </c>
      <c r="B258" t="s">
        <v>754</v>
      </c>
      <c r="C258">
        <v>225</v>
      </c>
      <c r="D258">
        <v>4</v>
      </c>
      <c r="E258"/>
      <c r="F258">
        <v>1024</v>
      </c>
      <c r="G258">
        <v>48</v>
      </c>
      <c r="H258"/>
      <c r="I258">
        <v>5000</v>
      </c>
      <c r="J258">
        <v>7.2</v>
      </c>
      <c r="K258">
        <v>65</v>
      </c>
      <c r="L258" t="s">
        <v>17</v>
      </c>
      <c r="M258" t="s">
        <v>34</v>
      </c>
      <c r="N258" t="s">
        <v>51</v>
      </c>
      <c r="O258">
        <v>3.9</v>
      </c>
      <c r="P258" t="s">
        <v>56</v>
      </c>
      <c r="Q258">
        <v>2025</v>
      </c>
    </row>
    <row r="259" spans="1:17" hidden="1" x14ac:dyDescent="0.3">
      <c r="A259" t="s">
        <v>36</v>
      </c>
      <c r="B259" t="s">
        <v>213</v>
      </c>
      <c r="C259">
        <v>706</v>
      </c>
      <c r="D259">
        <v>12</v>
      </c>
      <c r="E259" s="8">
        <f>C259/D259</f>
        <v>58.833333333333336</v>
      </c>
      <c r="F259">
        <v>1024</v>
      </c>
      <c r="G259">
        <v>50</v>
      </c>
      <c r="H259" s="8">
        <f>C259/G259</f>
        <v>14.12</v>
      </c>
      <c r="I259">
        <v>4000</v>
      </c>
      <c r="J259">
        <v>5.7</v>
      </c>
      <c r="K259">
        <v>33</v>
      </c>
      <c r="L259" t="s">
        <v>17</v>
      </c>
      <c r="M259" t="s">
        <v>18</v>
      </c>
      <c r="N259" t="s">
        <v>31</v>
      </c>
      <c r="O259">
        <v>3.9</v>
      </c>
      <c r="P259" t="s">
        <v>28</v>
      </c>
      <c r="Q259">
        <v>2025</v>
      </c>
    </row>
    <row r="260" spans="1:17" hidden="1" x14ac:dyDescent="0.3">
      <c r="A260" t="s">
        <v>25</v>
      </c>
      <c r="B260" t="s">
        <v>858</v>
      </c>
      <c r="C260">
        <v>167</v>
      </c>
      <c r="D260">
        <v>4</v>
      </c>
      <c r="E260"/>
      <c r="F260">
        <v>128</v>
      </c>
      <c r="G260">
        <v>64</v>
      </c>
      <c r="H260"/>
      <c r="I260">
        <v>4000</v>
      </c>
      <c r="J260">
        <v>6.8</v>
      </c>
      <c r="K260">
        <v>18</v>
      </c>
      <c r="L260" t="s">
        <v>38</v>
      </c>
      <c r="M260" t="s">
        <v>18</v>
      </c>
      <c r="N260" t="s">
        <v>19</v>
      </c>
      <c r="O260">
        <v>3.9</v>
      </c>
      <c r="P260" t="s">
        <v>39</v>
      </c>
      <c r="Q260">
        <v>2025</v>
      </c>
    </row>
    <row r="261" spans="1:17" hidden="1" x14ac:dyDescent="0.3">
      <c r="A261" t="s">
        <v>25</v>
      </c>
      <c r="B261" t="s">
        <v>985</v>
      </c>
      <c r="C261">
        <v>152</v>
      </c>
      <c r="D261">
        <v>4</v>
      </c>
      <c r="E261"/>
      <c r="F261">
        <v>1024</v>
      </c>
      <c r="G261">
        <v>12</v>
      </c>
      <c r="H261"/>
      <c r="I261">
        <v>4500</v>
      </c>
      <c r="J261">
        <v>6.2</v>
      </c>
      <c r="K261">
        <v>18</v>
      </c>
      <c r="L261" t="s">
        <v>17</v>
      </c>
      <c r="M261" t="s">
        <v>18</v>
      </c>
      <c r="N261" t="s">
        <v>19</v>
      </c>
      <c r="O261">
        <v>3.9</v>
      </c>
      <c r="P261" t="s">
        <v>39</v>
      </c>
      <c r="Q261">
        <v>2025</v>
      </c>
    </row>
    <row r="262" spans="1:17" hidden="1" x14ac:dyDescent="0.3">
      <c r="A262" t="s">
        <v>15</v>
      </c>
      <c r="B262" t="s">
        <v>991</v>
      </c>
      <c r="C262">
        <v>717</v>
      </c>
      <c r="D262">
        <v>4</v>
      </c>
      <c r="E262"/>
      <c r="F262">
        <v>256</v>
      </c>
      <c r="G262">
        <v>64</v>
      </c>
      <c r="H262"/>
      <c r="I262">
        <v>4000</v>
      </c>
      <c r="J262">
        <v>6</v>
      </c>
      <c r="K262">
        <v>65</v>
      </c>
      <c r="L262" t="s">
        <v>17</v>
      </c>
      <c r="M262" t="s">
        <v>18</v>
      </c>
      <c r="N262" t="s">
        <v>48</v>
      </c>
      <c r="O262">
        <v>3.9</v>
      </c>
      <c r="P262" t="s">
        <v>71</v>
      </c>
      <c r="Q262">
        <v>2025</v>
      </c>
    </row>
    <row r="263" spans="1:17" hidden="1" x14ac:dyDescent="0.3">
      <c r="A263" t="s">
        <v>25</v>
      </c>
      <c r="B263" t="s">
        <v>994</v>
      </c>
      <c r="C263">
        <v>633</v>
      </c>
      <c r="D263">
        <v>4</v>
      </c>
      <c r="E263"/>
      <c r="F263">
        <v>64</v>
      </c>
      <c r="G263">
        <v>200</v>
      </c>
      <c r="H263"/>
      <c r="I263">
        <v>5000</v>
      </c>
      <c r="J263">
        <v>7.1</v>
      </c>
      <c r="K263">
        <v>100</v>
      </c>
      <c r="L263" t="s">
        <v>38</v>
      </c>
      <c r="M263" t="s">
        <v>18</v>
      </c>
      <c r="N263" t="s">
        <v>35</v>
      </c>
      <c r="O263">
        <v>3.9</v>
      </c>
      <c r="P263" t="s">
        <v>42</v>
      </c>
      <c r="Q263">
        <v>2025</v>
      </c>
    </row>
    <row r="264" spans="1:17" hidden="1" x14ac:dyDescent="0.3">
      <c r="A264" t="s">
        <v>66</v>
      </c>
      <c r="B264" t="s">
        <v>1022</v>
      </c>
      <c r="C264">
        <v>373</v>
      </c>
      <c r="D264">
        <v>4</v>
      </c>
      <c r="E264"/>
      <c r="F264">
        <v>256</v>
      </c>
      <c r="G264">
        <v>12</v>
      </c>
      <c r="H264"/>
      <c r="I264">
        <v>4500</v>
      </c>
      <c r="J264">
        <v>6.2</v>
      </c>
      <c r="K264">
        <v>44</v>
      </c>
      <c r="L264" t="s">
        <v>17</v>
      </c>
      <c r="M264" t="s">
        <v>18</v>
      </c>
      <c r="N264" t="s">
        <v>35</v>
      </c>
      <c r="O264">
        <v>3.9</v>
      </c>
      <c r="P264" t="s">
        <v>56</v>
      </c>
      <c r="Q264">
        <v>2025</v>
      </c>
    </row>
    <row r="265" spans="1:17" hidden="1" x14ac:dyDescent="0.3">
      <c r="A265" t="s">
        <v>49</v>
      </c>
      <c r="B265" t="s">
        <v>77</v>
      </c>
      <c r="C265">
        <v>1288</v>
      </c>
      <c r="D265">
        <v>6</v>
      </c>
      <c r="E265"/>
      <c r="F265">
        <v>256</v>
      </c>
      <c r="G265">
        <v>108</v>
      </c>
      <c r="H265"/>
      <c r="I265">
        <v>6000</v>
      </c>
      <c r="J265">
        <v>6.8</v>
      </c>
      <c r="K265">
        <v>18</v>
      </c>
      <c r="L265" t="s">
        <v>17</v>
      </c>
      <c r="M265" t="s">
        <v>18</v>
      </c>
      <c r="N265" t="s">
        <v>23</v>
      </c>
      <c r="O265">
        <v>3.9</v>
      </c>
      <c r="P265" t="s">
        <v>64</v>
      </c>
      <c r="Q265">
        <v>2025</v>
      </c>
    </row>
    <row r="266" spans="1:17" hidden="1" x14ac:dyDescent="0.3">
      <c r="A266" t="s">
        <v>40</v>
      </c>
      <c r="B266" t="s">
        <v>186</v>
      </c>
      <c r="C266">
        <v>1132</v>
      </c>
      <c r="D266">
        <v>6</v>
      </c>
      <c r="E266"/>
      <c r="F266">
        <v>128</v>
      </c>
      <c r="G266">
        <v>48</v>
      </c>
      <c r="H266"/>
      <c r="I266">
        <v>4500</v>
      </c>
      <c r="J266">
        <v>6.9</v>
      </c>
      <c r="K266">
        <v>65</v>
      </c>
      <c r="L266" t="s">
        <v>38</v>
      </c>
      <c r="M266" t="s">
        <v>18</v>
      </c>
      <c r="N266" t="s">
        <v>35</v>
      </c>
      <c r="O266">
        <v>3.9</v>
      </c>
      <c r="P266" t="s">
        <v>46</v>
      </c>
      <c r="Q266">
        <v>2025</v>
      </c>
    </row>
    <row r="267" spans="1:17" x14ac:dyDescent="0.3">
      <c r="A267" t="s">
        <v>36</v>
      </c>
      <c r="B267" t="s">
        <v>636</v>
      </c>
      <c r="C267">
        <v>909</v>
      </c>
      <c r="D267">
        <v>8</v>
      </c>
      <c r="E267" s="8">
        <f t="shared" ref="E267:E268" si="22">C267/D267</f>
        <v>113.625</v>
      </c>
      <c r="F267">
        <v>256</v>
      </c>
      <c r="G267">
        <v>12</v>
      </c>
      <c r="H267" s="8">
        <f t="shared" ref="H267:H268" si="23">C267/G267</f>
        <v>75.75</v>
      </c>
      <c r="I267">
        <v>5500</v>
      </c>
      <c r="J267">
        <v>5.9</v>
      </c>
      <c r="K267">
        <v>44</v>
      </c>
      <c r="L267" t="s">
        <v>38</v>
      </c>
      <c r="M267" t="s">
        <v>18</v>
      </c>
      <c r="N267" t="s">
        <v>27</v>
      </c>
      <c r="O267">
        <v>3.9</v>
      </c>
      <c r="P267" t="s">
        <v>20</v>
      </c>
      <c r="Q267">
        <v>2025</v>
      </c>
    </row>
    <row r="268" spans="1:17" hidden="1" x14ac:dyDescent="0.3">
      <c r="A268" t="s">
        <v>29</v>
      </c>
      <c r="B268" t="s">
        <v>771</v>
      </c>
      <c r="C268">
        <v>210</v>
      </c>
      <c r="D268">
        <v>4</v>
      </c>
      <c r="E268" s="8">
        <f t="shared" si="22"/>
        <v>52.5</v>
      </c>
      <c r="F268">
        <v>512</v>
      </c>
      <c r="G268">
        <v>64</v>
      </c>
      <c r="H268" s="8">
        <f t="shared" si="23"/>
        <v>3.28125</v>
      </c>
      <c r="I268">
        <v>5000</v>
      </c>
      <c r="J268">
        <v>6.2</v>
      </c>
      <c r="K268">
        <v>44</v>
      </c>
      <c r="L268" t="s">
        <v>17</v>
      </c>
      <c r="M268" t="s">
        <v>18</v>
      </c>
      <c r="N268" t="s">
        <v>23</v>
      </c>
      <c r="O268">
        <v>3.9</v>
      </c>
      <c r="P268" t="s">
        <v>54</v>
      </c>
      <c r="Q268">
        <v>2025</v>
      </c>
    </row>
    <row r="269" spans="1:17" hidden="1" x14ac:dyDescent="0.3">
      <c r="A269" t="s">
        <v>29</v>
      </c>
      <c r="B269" t="s">
        <v>498</v>
      </c>
      <c r="C269">
        <v>1178</v>
      </c>
      <c r="D269">
        <v>6</v>
      </c>
      <c r="E269"/>
      <c r="F269">
        <v>1024</v>
      </c>
      <c r="G269">
        <v>12</v>
      </c>
      <c r="H269"/>
      <c r="I269">
        <v>6000</v>
      </c>
      <c r="J269">
        <v>6.9</v>
      </c>
      <c r="K269">
        <v>18</v>
      </c>
      <c r="L269" t="s">
        <v>17</v>
      </c>
      <c r="M269" t="s">
        <v>18</v>
      </c>
      <c r="N269" t="s">
        <v>23</v>
      </c>
      <c r="O269">
        <v>3.9</v>
      </c>
      <c r="P269" t="s">
        <v>42</v>
      </c>
      <c r="Q269">
        <v>2025</v>
      </c>
    </row>
    <row r="270" spans="1:17" hidden="1" x14ac:dyDescent="0.3">
      <c r="A270" t="s">
        <v>40</v>
      </c>
      <c r="B270" t="s">
        <v>506</v>
      </c>
      <c r="C270">
        <v>298</v>
      </c>
      <c r="D270">
        <v>6</v>
      </c>
      <c r="E270"/>
      <c r="F270">
        <v>64</v>
      </c>
      <c r="G270">
        <v>64</v>
      </c>
      <c r="H270"/>
      <c r="I270">
        <v>5500</v>
      </c>
      <c r="J270">
        <v>6.3</v>
      </c>
      <c r="K270">
        <v>18</v>
      </c>
      <c r="L270" t="s">
        <v>17</v>
      </c>
      <c r="M270" t="s">
        <v>18</v>
      </c>
      <c r="N270" t="s">
        <v>48</v>
      </c>
      <c r="O270">
        <v>3.9</v>
      </c>
      <c r="P270" t="s">
        <v>39</v>
      </c>
      <c r="Q270">
        <v>2025</v>
      </c>
    </row>
    <row r="271" spans="1:17" hidden="1" x14ac:dyDescent="0.3">
      <c r="A271" t="s">
        <v>66</v>
      </c>
      <c r="B271" t="s">
        <v>120</v>
      </c>
      <c r="C271">
        <v>1320</v>
      </c>
      <c r="D271">
        <v>4</v>
      </c>
      <c r="E271" s="8">
        <f t="shared" ref="E271:E272" si="24">C271/D271</f>
        <v>330</v>
      </c>
      <c r="F271">
        <v>64</v>
      </c>
      <c r="G271">
        <v>200</v>
      </c>
      <c r="H271" s="8">
        <f t="shared" ref="H271:H272" si="25">C271/G271</f>
        <v>6.6</v>
      </c>
      <c r="I271">
        <v>4500</v>
      </c>
      <c r="J271">
        <v>6.4</v>
      </c>
      <c r="K271">
        <v>44</v>
      </c>
      <c r="L271" t="s">
        <v>17</v>
      </c>
      <c r="M271" t="s">
        <v>18</v>
      </c>
      <c r="N271" t="s">
        <v>48</v>
      </c>
      <c r="O271">
        <v>3.9</v>
      </c>
      <c r="P271" t="s">
        <v>54</v>
      </c>
      <c r="Q271">
        <v>2025</v>
      </c>
    </row>
    <row r="272" spans="1:17" x14ac:dyDescent="0.3">
      <c r="A272" t="s">
        <v>15</v>
      </c>
      <c r="B272" t="s">
        <v>728</v>
      </c>
      <c r="C272">
        <v>1050</v>
      </c>
      <c r="D272">
        <v>6</v>
      </c>
      <c r="E272" s="8">
        <f t="shared" si="24"/>
        <v>175</v>
      </c>
      <c r="F272">
        <v>64</v>
      </c>
      <c r="G272">
        <v>48</v>
      </c>
      <c r="H272" s="8">
        <f t="shared" si="25"/>
        <v>21.875</v>
      </c>
      <c r="I272">
        <v>4000</v>
      </c>
      <c r="J272">
        <v>6.6</v>
      </c>
      <c r="K272">
        <v>44</v>
      </c>
      <c r="L272" t="s">
        <v>38</v>
      </c>
      <c r="M272" t="s">
        <v>18</v>
      </c>
      <c r="N272" t="s">
        <v>19</v>
      </c>
      <c r="O272">
        <v>3.9</v>
      </c>
      <c r="P272" t="s">
        <v>42</v>
      </c>
      <c r="Q272">
        <v>2025</v>
      </c>
    </row>
    <row r="273" spans="1:17" hidden="1" x14ac:dyDescent="0.3">
      <c r="A273" t="s">
        <v>40</v>
      </c>
      <c r="B273" t="s">
        <v>729</v>
      </c>
      <c r="C273">
        <v>1221</v>
      </c>
      <c r="D273">
        <v>6</v>
      </c>
      <c r="E273"/>
      <c r="F273">
        <v>512</v>
      </c>
      <c r="G273">
        <v>48</v>
      </c>
      <c r="H273"/>
      <c r="I273">
        <v>4500</v>
      </c>
      <c r="J273">
        <v>7</v>
      </c>
      <c r="K273">
        <v>33</v>
      </c>
      <c r="L273" t="s">
        <v>17</v>
      </c>
      <c r="M273" t="s">
        <v>18</v>
      </c>
      <c r="N273" t="s">
        <v>51</v>
      </c>
      <c r="O273">
        <v>3.9</v>
      </c>
      <c r="P273" t="s">
        <v>71</v>
      </c>
      <c r="Q273">
        <v>2025</v>
      </c>
    </row>
    <row r="274" spans="1:17" hidden="1" x14ac:dyDescent="0.3">
      <c r="A274" t="s">
        <v>21</v>
      </c>
      <c r="B274" t="s">
        <v>642</v>
      </c>
      <c r="C274">
        <v>910</v>
      </c>
      <c r="D274">
        <v>6</v>
      </c>
      <c r="E274" s="8">
        <f>C274/D274</f>
        <v>151.66666666666666</v>
      </c>
      <c r="F274">
        <v>512</v>
      </c>
      <c r="G274">
        <v>108</v>
      </c>
      <c r="H274" s="8">
        <f>C274/G274</f>
        <v>8.4259259259259256</v>
      </c>
      <c r="I274">
        <v>5000</v>
      </c>
      <c r="J274">
        <v>6.8</v>
      </c>
      <c r="K274">
        <v>44</v>
      </c>
      <c r="L274" t="s">
        <v>17</v>
      </c>
      <c r="M274" t="s">
        <v>18</v>
      </c>
      <c r="N274" t="s">
        <v>51</v>
      </c>
      <c r="O274">
        <v>3.9</v>
      </c>
      <c r="P274" t="s">
        <v>20</v>
      </c>
      <c r="Q274">
        <v>2025</v>
      </c>
    </row>
    <row r="275" spans="1:17" hidden="1" x14ac:dyDescent="0.3">
      <c r="A275" t="s">
        <v>29</v>
      </c>
      <c r="B275" t="s">
        <v>986</v>
      </c>
      <c r="C275">
        <v>1161</v>
      </c>
      <c r="D275">
        <v>6</v>
      </c>
      <c r="E275"/>
      <c r="F275">
        <v>1024</v>
      </c>
      <c r="G275">
        <v>50</v>
      </c>
      <c r="H275"/>
      <c r="I275">
        <v>6000</v>
      </c>
      <c r="J275">
        <v>6.7</v>
      </c>
      <c r="K275">
        <v>65</v>
      </c>
      <c r="L275" t="s">
        <v>17</v>
      </c>
      <c r="M275" t="s">
        <v>18</v>
      </c>
      <c r="N275" t="s">
        <v>27</v>
      </c>
      <c r="O275">
        <v>3.9</v>
      </c>
      <c r="P275" t="s">
        <v>39</v>
      </c>
      <c r="Q275">
        <v>2025</v>
      </c>
    </row>
    <row r="276" spans="1:17" hidden="1" x14ac:dyDescent="0.3">
      <c r="A276" t="s">
        <v>36</v>
      </c>
      <c r="B276" t="s">
        <v>992</v>
      </c>
      <c r="C276">
        <v>727</v>
      </c>
      <c r="D276">
        <v>6</v>
      </c>
      <c r="E276"/>
      <c r="F276">
        <v>1024</v>
      </c>
      <c r="G276">
        <v>108</v>
      </c>
      <c r="H276"/>
      <c r="I276">
        <v>4500</v>
      </c>
      <c r="J276">
        <v>6.3</v>
      </c>
      <c r="K276">
        <v>100</v>
      </c>
      <c r="L276" t="s">
        <v>17</v>
      </c>
      <c r="M276" t="s">
        <v>18</v>
      </c>
      <c r="N276" t="s">
        <v>19</v>
      </c>
      <c r="O276">
        <v>3.9</v>
      </c>
      <c r="P276" t="s">
        <v>56</v>
      </c>
      <c r="Q276">
        <v>2025</v>
      </c>
    </row>
    <row r="277" spans="1:17" hidden="1" x14ac:dyDescent="0.3">
      <c r="A277" t="s">
        <v>21</v>
      </c>
      <c r="B277" t="s">
        <v>273</v>
      </c>
      <c r="C277">
        <v>256</v>
      </c>
      <c r="D277">
        <v>8</v>
      </c>
      <c r="E277"/>
      <c r="F277">
        <v>512</v>
      </c>
      <c r="G277">
        <v>12</v>
      </c>
      <c r="H277"/>
      <c r="I277">
        <v>5000</v>
      </c>
      <c r="J277">
        <v>6.5</v>
      </c>
      <c r="K277">
        <v>44</v>
      </c>
      <c r="L277" t="s">
        <v>38</v>
      </c>
      <c r="M277" t="s">
        <v>18</v>
      </c>
      <c r="N277" t="s">
        <v>27</v>
      </c>
      <c r="O277">
        <v>3.9</v>
      </c>
      <c r="P277" t="s">
        <v>39</v>
      </c>
      <c r="Q277">
        <v>2025</v>
      </c>
    </row>
    <row r="278" spans="1:17" hidden="1" x14ac:dyDescent="0.3">
      <c r="A278" t="s">
        <v>40</v>
      </c>
      <c r="B278" t="s">
        <v>292</v>
      </c>
      <c r="C278">
        <v>473</v>
      </c>
      <c r="D278">
        <v>8</v>
      </c>
      <c r="E278"/>
      <c r="F278">
        <v>1024</v>
      </c>
      <c r="G278">
        <v>108</v>
      </c>
      <c r="H278"/>
      <c r="I278">
        <v>5000</v>
      </c>
      <c r="J278">
        <v>5.5</v>
      </c>
      <c r="K278">
        <v>100</v>
      </c>
      <c r="L278" t="s">
        <v>38</v>
      </c>
      <c r="M278" t="s">
        <v>18</v>
      </c>
      <c r="N278" t="s">
        <v>35</v>
      </c>
      <c r="O278">
        <v>3.9</v>
      </c>
      <c r="P278" t="s">
        <v>56</v>
      </c>
      <c r="Q278">
        <v>2025</v>
      </c>
    </row>
    <row r="279" spans="1:17" hidden="1" x14ac:dyDescent="0.3">
      <c r="A279" t="s">
        <v>36</v>
      </c>
      <c r="B279" t="s">
        <v>330</v>
      </c>
      <c r="C279">
        <v>475</v>
      </c>
      <c r="D279">
        <v>8</v>
      </c>
      <c r="E279"/>
      <c r="F279">
        <v>64</v>
      </c>
      <c r="G279">
        <v>12</v>
      </c>
      <c r="H279"/>
      <c r="I279">
        <v>4500</v>
      </c>
      <c r="J279">
        <v>5.8</v>
      </c>
      <c r="K279">
        <v>44</v>
      </c>
      <c r="L279" t="s">
        <v>38</v>
      </c>
      <c r="M279" t="s">
        <v>18</v>
      </c>
      <c r="N279" t="s">
        <v>27</v>
      </c>
      <c r="O279">
        <v>3.9</v>
      </c>
      <c r="P279" t="s">
        <v>46</v>
      </c>
      <c r="Q279">
        <v>2025</v>
      </c>
    </row>
    <row r="280" spans="1:17" hidden="1" x14ac:dyDescent="0.3">
      <c r="A280" t="s">
        <v>36</v>
      </c>
      <c r="B280" t="s">
        <v>381</v>
      </c>
      <c r="C280">
        <v>724</v>
      </c>
      <c r="D280">
        <v>8</v>
      </c>
      <c r="E280"/>
      <c r="F280">
        <v>256</v>
      </c>
      <c r="G280">
        <v>64</v>
      </c>
      <c r="H280"/>
      <c r="I280">
        <v>4500</v>
      </c>
      <c r="J280">
        <v>6.5</v>
      </c>
      <c r="K280">
        <v>18</v>
      </c>
      <c r="L280" t="s">
        <v>17</v>
      </c>
      <c r="M280" t="s">
        <v>18</v>
      </c>
      <c r="N280" t="s">
        <v>27</v>
      </c>
      <c r="O280">
        <v>3.9</v>
      </c>
      <c r="P280" t="s">
        <v>39</v>
      </c>
      <c r="Q280">
        <v>2025</v>
      </c>
    </row>
    <row r="281" spans="1:17" hidden="1" x14ac:dyDescent="0.3">
      <c r="A281" t="s">
        <v>21</v>
      </c>
      <c r="B281" t="s">
        <v>399</v>
      </c>
      <c r="C281">
        <v>1386</v>
      </c>
      <c r="D281">
        <v>8</v>
      </c>
      <c r="E281"/>
      <c r="F281">
        <v>64</v>
      </c>
      <c r="G281">
        <v>12</v>
      </c>
      <c r="H281"/>
      <c r="I281">
        <v>6000</v>
      </c>
      <c r="J281">
        <v>6.4</v>
      </c>
      <c r="K281">
        <v>100</v>
      </c>
      <c r="L281" t="s">
        <v>17</v>
      </c>
      <c r="M281" t="s">
        <v>18</v>
      </c>
      <c r="N281" t="s">
        <v>23</v>
      </c>
      <c r="O281">
        <v>3.9</v>
      </c>
      <c r="P281" t="s">
        <v>24</v>
      </c>
      <c r="Q281">
        <v>2025</v>
      </c>
    </row>
    <row r="282" spans="1:17" hidden="1" x14ac:dyDescent="0.3">
      <c r="A282" t="s">
        <v>21</v>
      </c>
      <c r="B282" t="s">
        <v>458</v>
      </c>
      <c r="C282">
        <v>1251</v>
      </c>
      <c r="D282">
        <v>8</v>
      </c>
      <c r="E282"/>
      <c r="F282">
        <v>128</v>
      </c>
      <c r="G282">
        <v>200</v>
      </c>
      <c r="H282"/>
      <c r="I282">
        <v>4000</v>
      </c>
      <c r="J282">
        <v>6.7</v>
      </c>
      <c r="K282">
        <v>18</v>
      </c>
      <c r="L282" t="s">
        <v>38</v>
      </c>
      <c r="M282" t="s">
        <v>18</v>
      </c>
      <c r="N282" t="s">
        <v>23</v>
      </c>
      <c r="O282">
        <v>3.9</v>
      </c>
      <c r="P282" t="s">
        <v>46</v>
      </c>
      <c r="Q282">
        <v>2025</v>
      </c>
    </row>
    <row r="283" spans="1:17" hidden="1" x14ac:dyDescent="0.3">
      <c r="A283" t="s">
        <v>21</v>
      </c>
      <c r="B283" t="s">
        <v>584</v>
      </c>
      <c r="C283">
        <v>857</v>
      </c>
      <c r="D283">
        <v>8</v>
      </c>
      <c r="E283"/>
      <c r="F283">
        <v>512</v>
      </c>
      <c r="G283">
        <v>12</v>
      </c>
      <c r="H283"/>
      <c r="I283">
        <v>4000</v>
      </c>
      <c r="J283">
        <v>6.1</v>
      </c>
      <c r="K283">
        <v>65</v>
      </c>
      <c r="L283" t="s">
        <v>38</v>
      </c>
      <c r="M283" t="s">
        <v>18</v>
      </c>
      <c r="N283" t="s">
        <v>51</v>
      </c>
      <c r="O283">
        <v>3.9</v>
      </c>
      <c r="P283" t="s">
        <v>71</v>
      </c>
      <c r="Q283">
        <v>2025</v>
      </c>
    </row>
    <row r="284" spans="1:17" x14ac:dyDescent="0.3">
      <c r="A284" t="s">
        <v>21</v>
      </c>
      <c r="B284" t="s">
        <v>311</v>
      </c>
      <c r="C284">
        <v>1032</v>
      </c>
      <c r="D284">
        <v>4</v>
      </c>
      <c r="E284" s="8">
        <f t="shared" ref="E284:E286" si="26">C284/D284</f>
        <v>258</v>
      </c>
      <c r="F284">
        <v>256</v>
      </c>
      <c r="G284">
        <v>50</v>
      </c>
      <c r="H284" s="8">
        <f t="shared" ref="H284:H286" si="27">C284/G284</f>
        <v>20.64</v>
      </c>
      <c r="I284">
        <v>6000</v>
      </c>
      <c r="J284">
        <v>7</v>
      </c>
      <c r="K284">
        <v>44</v>
      </c>
      <c r="L284" t="s">
        <v>38</v>
      </c>
      <c r="M284" t="s">
        <v>18</v>
      </c>
      <c r="N284" t="s">
        <v>19</v>
      </c>
      <c r="O284">
        <v>3.9</v>
      </c>
      <c r="P284" t="s">
        <v>24</v>
      </c>
      <c r="Q284">
        <v>2025</v>
      </c>
    </row>
    <row r="285" spans="1:17" x14ac:dyDescent="0.3">
      <c r="A285" t="s">
        <v>15</v>
      </c>
      <c r="B285" t="s">
        <v>667</v>
      </c>
      <c r="C285">
        <v>730</v>
      </c>
      <c r="D285">
        <v>8</v>
      </c>
      <c r="E285" s="8">
        <f t="shared" si="26"/>
        <v>91.25</v>
      </c>
      <c r="F285">
        <v>128</v>
      </c>
      <c r="G285">
        <v>108</v>
      </c>
      <c r="H285" s="8">
        <f t="shared" si="27"/>
        <v>6.7592592592592595</v>
      </c>
      <c r="I285">
        <v>4000</v>
      </c>
      <c r="J285">
        <v>5.7</v>
      </c>
      <c r="K285">
        <v>65</v>
      </c>
      <c r="L285" t="s">
        <v>38</v>
      </c>
      <c r="M285" t="s">
        <v>18</v>
      </c>
      <c r="N285" t="s">
        <v>19</v>
      </c>
      <c r="O285">
        <v>3.9</v>
      </c>
      <c r="P285" t="s">
        <v>82</v>
      </c>
      <c r="Q285">
        <v>2025</v>
      </c>
    </row>
    <row r="286" spans="1:17" hidden="1" x14ac:dyDescent="0.3">
      <c r="A286" t="s">
        <v>15</v>
      </c>
      <c r="B286" t="s">
        <v>217</v>
      </c>
      <c r="C286">
        <v>107</v>
      </c>
      <c r="D286">
        <v>6</v>
      </c>
      <c r="E286" s="8">
        <f t="shared" si="26"/>
        <v>17.833333333333332</v>
      </c>
      <c r="F286">
        <v>64</v>
      </c>
      <c r="G286">
        <v>64</v>
      </c>
      <c r="H286" s="8">
        <f t="shared" si="27"/>
        <v>1.671875</v>
      </c>
      <c r="I286">
        <v>6000</v>
      </c>
      <c r="J286">
        <v>6.3</v>
      </c>
      <c r="K286">
        <v>65</v>
      </c>
      <c r="L286" t="s">
        <v>17</v>
      </c>
      <c r="M286" t="s">
        <v>18</v>
      </c>
      <c r="N286" t="s">
        <v>51</v>
      </c>
      <c r="O286">
        <v>3.9</v>
      </c>
      <c r="P286" t="s">
        <v>28</v>
      </c>
      <c r="Q286">
        <v>2025</v>
      </c>
    </row>
    <row r="287" spans="1:17" hidden="1" x14ac:dyDescent="0.3">
      <c r="A287" t="s">
        <v>32</v>
      </c>
      <c r="B287" t="s">
        <v>702</v>
      </c>
      <c r="C287">
        <v>1186</v>
      </c>
      <c r="D287">
        <v>8</v>
      </c>
      <c r="E287"/>
      <c r="F287">
        <v>512</v>
      </c>
      <c r="G287">
        <v>200</v>
      </c>
      <c r="H287"/>
      <c r="I287">
        <v>4000</v>
      </c>
      <c r="J287">
        <v>6.5</v>
      </c>
      <c r="K287">
        <v>18</v>
      </c>
      <c r="L287" t="s">
        <v>38</v>
      </c>
      <c r="M287" t="s">
        <v>34</v>
      </c>
      <c r="N287" t="s">
        <v>31</v>
      </c>
      <c r="O287">
        <v>3.9</v>
      </c>
      <c r="P287" t="s">
        <v>20</v>
      </c>
      <c r="Q287">
        <v>2025</v>
      </c>
    </row>
    <row r="288" spans="1:17" hidden="1" x14ac:dyDescent="0.3">
      <c r="A288" t="s">
        <v>36</v>
      </c>
      <c r="B288" t="s">
        <v>720</v>
      </c>
      <c r="C288">
        <v>923</v>
      </c>
      <c r="D288">
        <v>8</v>
      </c>
      <c r="E288"/>
      <c r="F288">
        <v>128</v>
      </c>
      <c r="G288">
        <v>64</v>
      </c>
      <c r="H288"/>
      <c r="I288">
        <v>5000</v>
      </c>
      <c r="J288">
        <v>5.9</v>
      </c>
      <c r="K288">
        <v>44</v>
      </c>
      <c r="L288" t="s">
        <v>38</v>
      </c>
      <c r="M288" t="s">
        <v>18</v>
      </c>
      <c r="N288" t="s">
        <v>31</v>
      </c>
      <c r="O288">
        <v>3.9</v>
      </c>
      <c r="P288" t="s">
        <v>24</v>
      </c>
      <c r="Q288">
        <v>2025</v>
      </c>
    </row>
    <row r="289" spans="1:17" hidden="1" x14ac:dyDescent="0.3">
      <c r="A289" t="s">
        <v>66</v>
      </c>
      <c r="B289" t="s">
        <v>745</v>
      </c>
      <c r="C289">
        <v>355</v>
      </c>
      <c r="D289">
        <v>8</v>
      </c>
      <c r="E289"/>
      <c r="F289">
        <v>64</v>
      </c>
      <c r="G289">
        <v>50</v>
      </c>
      <c r="H289"/>
      <c r="I289">
        <v>4500</v>
      </c>
      <c r="J289">
        <v>6.8</v>
      </c>
      <c r="K289">
        <v>33</v>
      </c>
      <c r="L289" t="s">
        <v>38</v>
      </c>
      <c r="M289" t="s">
        <v>18</v>
      </c>
      <c r="N289" t="s">
        <v>51</v>
      </c>
      <c r="O289">
        <v>3.9</v>
      </c>
      <c r="P289" t="s">
        <v>44</v>
      </c>
      <c r="Q289">
        <v>2025</v>
      </c>
    </row>
    <row r="290" spans="1:17" hidden="1" x14ac:dyDescent="0.3">
      <c r="A290" t="s">
        <v>36</v>
      </c>
      <c r="B290" t="s">
        <v>911</v>
      </c>
      <c r="C290">
        <v>135</v>
      </c>
      <c r="D290">
        <v>8</v>
      </c>
      <c r="E290"/>
      <c r="F290">
        <v>128</v>
      </c>
      <c r="G290">
        <v>48</v>
      </c>
      <c r="H290"/>
      <c r="I290">
        <v>4000</v>
      </c>
      <c r="J290">
        <v>6.9</v>
      </c>
      <c r="K290">
        <v>18</v>
      </c>
      <c r="L290" t="s">
        <v>38</v>
      </c>
      <c r="M290" t="s">
        <v>18</v>
      </c>
      <c r="N290" t="s">
        <v>51</v>
      </c>
      <c r="O290">
        <v>3.9</v>
      </c>
      <c r="P290" t="s">
        <v>46</v>
      </c>
      <c r="Q290">
        <v>2025</v>
      </c>
    </row>
    <row r="291" spans="1:17" hidden="1" x14ac:dyDescent="0.3">
      <c r="A291" t="s">
        <v>21</v>
      </c>
      <c r="B291" t="s">
        <v>893</v>
      </c>
      <c r="C291">
        <v>1078</v>
      </c>
      <c r="D291">
        <v>16</v>
      </c>
      <c r="E291" s="8">
        <f>C291/D291</f>
        <v>67.375</v>
      </c>
      <c r="F291">
        <v>128</v>
      </c>
      <c r="G291">
        <v>64</v>
      </c>
      <c r="H291" s="8">
        <f>C291/G291</f>
        <v>16.84375</v>
      </c>
      <c r="I291">
        <v>4500</v>
      </c>
      <c r="J291">
        <v>6.6</v>
      </c>
      <c r="K291">
        <v>65</v>
      </c>
      <c r="L291" t="s">
        <v>17</v>
      </c>
      <c r="M291" t="s">
        <v>18</v>
      </c>
      <c r="N291" t="s">
        <v>48</v>
      </c>
      <c r="O291">
        <v>3.9</v>
      </c>
      <c r="P291" t="s">
        <v>28</v>
      </c>
      <c r="Q291">
        <v>2025</v>
      </c>
    </row>
    <row r="292" spans="1:17" hidden="1" x14ac:dyDescent="0.3">
      <c r="A292" t="s">
        <v>32</v>
      </c>
      <c r="B292" t="s">
        <v>1009</v>
      </c>
      <c r="C292">
        <v>1386</v>
      </c>
      <c r="D292">
        <v>8</v>
      </c>
      <c r="E292"/>
      <c r="F292">
        <v>256</v>
      </c>
      <c r="G292">
        <v>200</v>
      </c>
      <c r="H292"/>
      <c r="I292">
        <v>4000</v>
      </c>
      <c r="J292">
        <v>5.6</v>
      </c>
      <c r="K292">
        <v>65</v>
      </c>
      <c r="L292" t="s">
        <v>17</v>
      </c>
      <c r="M292" t="s">
        <v>34</v>
      </c>
      <c r="N292" t="s">
        <v>19</v>
      </c>
      <c r="O292">
        <v>3.9</v>
      </c>
      <c r="P292" t="s">
        <v>82</v>
      </c>
      <c r="Q292">
        <v>2025</v>
      </c>
    </row>
    <row r="293" spans="1:17" hidden="1" x14ac:dyDescent="0.3">
      <c r="A293" t="s">
        <v>36</v>
      </c>
      <c r="B293" t="s">
        <v>148</v>
      </c>
      <c r="C293">
        <v>1278</v>
      </c>
      <c r="D293">
        <v>12</v>
      </c>
      <c r="E293"/>
      <c r="F293">
        <v>128</v>
      </c>
      <c r="G293">
        <v>200</v>
      </c>
      <c r="H293"/>
      <c r="I293">
        <v>5000</v>
      </c>
      <c r="J293">
        <v>6.5</v>
      </c>
      <c r="K293">
        <v>18</v>
      </c>
      <c r="L293" t="s">
        <v>38</v>
      </c>
      <c r="M293" t="s">
        <v>18</v>
      </c>
      <c r="N293" t="s">
        <v>27</v>
      </c>
      <c r="O293">
        <v>3.9</v>
      </c>
      <c r="P293" t="s">
        <v>71</v>
      </c>
      <c r="Q293">
        <v>2025</v>
      </c>
    </row>
    <row r="294" spans="1:17" hidden="1" x14ac:dyDescent="0.3">
      <c r="A294" t="s">
        <v>66</v>
      </c>
      <c r="B294" t="s">
        <v>684</v>
      </c>
      <c r="C294">
        <v>520</v>
      </c>
      <c r="D294">
        <v>8</v>
      </c>
      <c r="E294" s="8">
        <f>C294/D294</f>
        <v>65</v>
      </c>
      <c r="F294">
        <v>512</v>
      </c>
      <c r="G294">
        <v>108</v>
      </c>
      <c r="H294" s="8">
        <f>C294/G294</f>
        <v>4.8148148148148149</v>
      </c>
      <c r="I294">
        <v>4500</v>
      </c>
      <c r="J294">
        <v>6.7</v>
      </c>
      <c r="K294">
        <v>65</v>
      </c>
      <c r="L294" t="s">
        <v>17</v>
      </c>
      <c r="M294" t="s">
        <v>18</v>
      </c>
      <c r="N294" t="s">
        <v>48</v>
      </c>
      <c r="O294">
        <v>3.9</v>
      </c>
      <c r="P294" t="s">
        <v>24</v>
      </c>
      <c r="Q294">
        <v>2025</v>
      </c>
    </row>
    <row r="295" spans="1:17" hidden="1" x14ac:dyDescent="0.3">
      <c r="A295" t="s">
        <v>21</v>
      </c>
      <c r="B295" t="s">
        <v>297</v>
      </c>
      <c r="C295">
        <v>543</v>
      </c>
      <c r="D295">
        <v>12</v>
      </c>
      <c r="E295"/>
      <c r="F295">
        <v>128</v>
      </c>
      <c r="G295">
        <v>50</v>
      </c>
      <c r="H295"/>
      <c r="I295">
        <v>4500</v>
      </c>
      <c r="J295">
        <v>6.4</v>
      </c>
      <c r="K295">
        <v>44</v>
      </c>
      <c r="L295" t="s">
        <v>17</v>
      </c>
      <c r="M295" t="s">
        <v>18</v>
      </c>
      <c r="N295" t="s">
        <v>61</v>
      </c>
      <c r="O295">
        <v>3.9</v>
      </c>
      <c r="P295" t="s">
        <v>71</v>
      </c>
      <c r="Q295">
        <v>2025</v>
      </c>
    </row>
    <row r="296" spans="1:17" hidden="1" x14ac:dyDescent="0.3">
      <c r="A296" t="s">
        <v>36</v>
      </c>
      <c r="B296" t="s">
        <v>391</v>
      </c>
      <c r="C296">
        <v>325</v>
      </c>
      <c r="D296">
        <v>12</v>
      </c>
      <c r="E296"/>
      <c r="F296">
        <v>64</v>
      </c>
      <c r="G296">
        <v>200</v>
      </c>
      <c r="H296"/>
      <c r="I296">
        <v>4500</v>
      </c>
      <c r="J296">
        <v>5.5</v>
      </c>
      <c r="K296">
        <v>100</v>
      </c>
      <c r="L296" t="s">
        <v>38</v>
      </c>
      <c r="M296" t="s">
        <v>18</v>
      </c>
      <c r="N296" t="s">
        <v>35</v>
      </c>
      <c r="O296">
        <v>3.9</v>
      </c>
      <c r="P296" t="s">
        <v>28</v>
      </c>
      <c r="Q296">
        <v>2025</v>
      </c>
    </row>
    <row r="297" spans="1:17" hidden="1" x14ac:dyDescent="0.3">
      <c r="A297" t="s">
        <v>21</v>
      </c>
      <c r="B297" t="s">
        <v>463</v>
      </c>
      <c r="C297">
        <v>723</v>
      </c>
      <c r="D297">
        <v>12</v>
      </c>
      <c r="E297"/>
      <c r="F297">
        <v>128</v>
      </c>
      <c r="G297">
        <v>200</v>
      </c>
      <c r="H297"/>
      <c r="I297">
        <v>4500</v>
      </c>
      <c r="J297">
        <v>6.7</v>
      </c>
      <c r="K297">
        <v>100</v>
      </c>
      <c r="L297" t="s">
        <v>38</v>
      </c>
      <c r="M297" t="s">
        <v>18</v>
      </c>
      <c r="N297" t="s">
        <v>51</v>
      </c>
      <c r="O297">
        <v>3.9</v>
      </c>
      <c r="P297" t="s">
        <v>56</v>
      </c>
      <c r="Q297">
        <v>2025</v>
      </c>
    </row>
    <row r="298" spans="1:17" hidden="1" x14ac:dyDescent="0.3">
      <c r="A298" t="s">
        <v>25</v>
      </c>
      <c r="B298" t="s">
        <v>508</v>
      </c>
      <c r="C298">
        <v>963</v>
      </c>
      <c r="D298">
        <v>12</v>
      </c>
      <c r="E298"/>
      <c r="F298">
        <v>128</v>
      </c>
      <c r="G298">
        <v>200</v>
      </c>
      <c r="H298"/>
      <c r="I298">
        <v>6000</v>
      </c>
      <c r="J298">
        <v>6.7</v>
      </c>
      <c r="K298">
        <v>120</v>
      </c>
      <c r="L298" t="s">
        <v>17</v>
      </c>
      <c r="M298" t="s">
        <v>18</v>
      </c>
      <c r="N298" t="s">
        <v>61</v>
      </c>
      <c r="O298">
        <v>3.9</v>
      </c>
      <c r="P298" t="s">
        <v>42</v>
      </c>
      <c r="Q298">
        <v>2025</v>
      </c>
    </row>
    <row r="299" spans="1:17" hidden="1" x14ac:dyDescent="0.3">
      <c r="A299" t="s">
        <v>21</v>
      </c>
      <c r="B299" t="s">
        <v>518</v>
      </c>
      <c r="C299">
        <v>264</v>
      </c>
      <c r="D299">
        <v>12</v>
      </c>
      <c r="E299"/>
      <c r="F299">
        <v>128</v>
      </c>
      <c r="G299">
        <v>108</v>
      </c>
      <c r="H299"/>
      <c r="I299">
        <v>5500</v>
      </c>
      <c r="J299">
        <v>5.7</v>
      </c>
      <c r="K299">
        <v>33</v>
      </c>
      <c r="L299" t="s">
        <v>17</v>
      </c>
      <c r="M299" t="s">
        <v>18</v>
      </c>
      <c r="N299" t="s">
        <v>23</v>
      </c>
      <c r="O299">
        <v>3.9</v>
      </c>
      <c r="P299" t="s">
        <v>56</v>
      </c>
      <c r="Q299">
        <v>2025</v>
      </c>
    </row>
    <row r="300" spans="1:17" hidden="1" x14ac:dyDescent="0.3">
      <c r="A300" t="s">
        <v>32</v>
      </c>
      <c r="B300" t="s">
        <v>849</v>
      </c>
      <c r="C300">
        <v>1302</v>
      </c>
      <c r="D300">
        <v>6</v>
      </c>
      <c r="E300" s="8">
        <f t="shared" ref="E300:E301" si="28">C300/D300</f>
        <v>217</v>
      </c>
      <c r="F300">
        <v>512</v>
      </c>
      <c r="G300">
        <v>64</v>
      </c>
      <c r="H300" s="8">
        <f t="shared" ref="H300:H301" si="29">C300/G300</f>
        <v>20.34375</v>
      </c>
      <c r="I300">
        <v>5000</v>
      </c>
      <c r="J300">
        <v>7</v>
      </c>
      <c r="K300">
        <v>65</v>
      </c>
      <c r="L300" t="s">
        <v>17</v>
      </c>
      <c r="M300" t="s">
        <v>34</v>
      </c>
      <c r="N300" t="s">
        <v>35</v>
      </c>
      <c r="O300">
        <v>3.9</v>
      </c>
      <c r="P300" t="s">
        <v>44</v>
      </c>
      <c r="Q300">
        <v>2025</v>
      </c>
    </row>
    <row r="301" spans="1:17" hidden="1" x14ac:dyDescent="0.3">
      <c r="A301" t="s">
        <v>29</v>
      </c>
      <c r="B301" t="s">
        <v>566</v>
      </c>
      <c r="C301">
        <v>1220</v>
      </c>
      <c r="D301">
        <v>16</v>
      </c>
      <c r="E301" s="8">
        <f t="shared" si="28"/>
        <v>76.25</v>
      </c>
      <c r="F301">
        <v>512</v>
      </c>
      <c r="G301">
        <v>12</v>
      </c>
      <c r="H301" s="8">
        <f t="shared" si="29"/>
        <v>101.66666666666667</v>
      </c>
      <c r="I301">
        <v>5500</v>
      </c>
      <c r="J301">
        <v>5.7</v>
      </c>
      <c r="K301">
        <v>100</v>
      </c>
      <c r="L301" t="s">
        <v>17</v>
      </c>
      <c r="M301" t="s">
        <v>18</v>
      </c>
      <c r="N301" t="s">
        <v>35</v>
      </c>
      <c r="O301">
        <v>3.9</v>
      </c>
      <c r="P301" t="s">
        <v>42</v>
      </c>
      <c r="Q301">
        <v>2025</v>
      </c>
    </row>
    <row r="302" spans="1:17" hidden="1" x14ac:dyDescent="0.3">
      <c r="A302" t="s">
        <v>49</v>
      </c>
      <c r="B302" t="s">
        <v>632</v>
      </c>
      <c r="C302">
        <v>281</v>
      </c>
      <c r="D302">
        <v>12</v>
      </c>
      <c r="E302"/>
      <c r="F302">
        <v>256</v>
      </c>
      <c r="G302">
        <v>50</v>
      </c>
      <c r="H302"/>
      <c r="I302">
        <v>6000</v>
      </c>
      <c r="J302">
        <v>6.4</v>
      </c>
      <c r="K302">
        <v>18</v>
      </c>
      <c r="L302" t="s">
        <v>38</v>
      </c>
      <c r="M302" t="s">
        <v>18</v>
      </c>
      <c r="N302" t="s">
        <v>61</v>
      </c>
      <c r="O302">
        <v>3.9</v>
      </c>
      <c r="P302" t="s">
        <v>54</v>
      </c>
      <c r="Q302">
        <v>2025</v>
      </c>
    </row>
    <row r="303" spans="1:17" hidden="1" x14ac:dyDescent="0.3">
      <c r="A303" t="s">
        <v>66</v>
      </c>
      <c r="B303" t="s">
        <v>743</v>
      </c>
      <c r="C303">
        <v>474</v>
      </c>
      <c r="D303">
        <v>12</v>
      </c>
      <c r="E303"/>
      <c r="F303">
        <v>256</v>
      </c>
      <c r="G303">
        <v>12</v>
      </c>
      <c r="H303"/>
      <c r="I303">
        <v>5000</v>
      </c>
      <c r="J303">
        <v>7.2</v>
      </c>
      <c r="K303">
        <v>120</v>
      </c>
      <c r="L303" t="s">
        <v>17</v>
      </c>
      <c r="M303" t="s">
        <v>18</v>
      </c>
      <c r="N303" t="s">
        <v>51</v>
      </c>
      <c r="O303">
        <v>3.9</v>
      </c>
      <c r="P303" t="s">
        <v>46</v>
      </c>
      <c r="Q303">
        <v>2025</v>
      </c>
    </row>
    <row r="304" spans="1:17" hidden="1" x14ac:dyDescent="0.3">
      <c r="A304" t="s">
        <v>25</v>
      </c>
      <c r="B304" t="s">
        <v>588</v>
      </c>
      <c r="C304">
        <v>1038</v>
      </c>
      <c r="D304">
        <v>12</v>
      </c>
      <c r="E304" s="8">
        <f>C304/D304</f>
        <v>86.5</v>
      </c>
      <c r="F304">
        <v>64</v>
      </c>
      <c r="G304">
        <v>12</v>
      </c>
      <c r="H304" s="8">
        <f>C304/G304</f>
        <v>86.5</v>
      </c>
      <c r="I304">
        <v>5500</v>
      </c>
      <c r="J304">
        <v>5.8</v>
      </c>
      <c r="K304">
        <v>100</v>
      </c>
      <c r="L304" t="s">
        <v>17</v>
      </c>
      <c r="M304" t="s">
        <v>18</v>
      </c>
      <c r="N304" t="s">
        <v>31</v>
      </c>
      <c r="O304">
        <v>3.9</v>
      </c>
      <c r="P304" t="s">
        <v>64</v>
      </c>
      <c r="Q304">
        <v>2025</v>
      </c>
    </row>
    <row r="305" spans="1:17" hidden="1" x14ac:dyDescent="0.3">
      <c r="A305" t="s">
        <v>40</v>
      </c>
      <c r="B305" t="s">
        <v>877</v>
      </c>
      <c r="C305">
        <v>465</v>
      </c>
      <c r="D305">
        <v>12</v>
      </c>
      <c r="E305"/>
      <c r="F305">
        <v>128</v>
      </c>
      <c r="G305">
        <v>50</v>
      </c>
      <c r="H305"/>
      <c r="I305">
        <v>5000</v>
      </c>
      <c r="J305">
        <v>6.5</v>
      </c>
      <c r="K305">
        <v>18</v>
      </c>
      <c r="L305" t="s">
        <v>17</v>
      </c>
      <c r="M305" t="s">
        <v>18</v>
      </c>
      <c r="N305" t="s">
        <v>31</v>
      </c>
      <c r="O305">
        <v>3.9</v>
      </c>
      <c r="P305" t="s">
        <v>20</v>
      </c>
      <c r="Q305">
        <v>2025</v>
      </c>
    </row>
    <row r="306" spans="1:17" hidden="1" x14ac:dyDescent="0.3">
      <c r="A306" t="s">
        <v>66</v>
      </c>
      <c r="B306" t="s">
        <v>902</v>
      </c>
      <c r="C306">
        <v>825</v>
      </c>
      <c r="D306">
        <v>12</v>
      </c>
      <c r="E306"/>
      <c r="F306">
        <v>64</v>
      </c>
      <c r="G306">
        <v>12</v>
      </c>
      <c r="H306"/>
      <c r="I306">
        <v>4500</v>
      </c>
      <c r="J306">
        <v>6.3</v>
      </c>
      <c r="K306">
        <v>18</v>
      </c>
      <c r="L306" t="s">
        <v>38</v>
      </c>
      <c r="M306" t="s">
        <v>18</v>
      </c>
      <c r="N306" t="s">
        <v>31</v>
      </c>
      <c r="O306">
        <v>3.9</v>
      </c>
      <c r="P306" t="s">
        <v>54</v>
      </c>
      <c r="Q306">
        <v>2025</v>
      </c>
    </row>
    <row r="307" spans="1:17" hidden="1" x14ac:dyDescent="0.3">
      <c r="A307" t="s">
        <v>21</v>
      </c>
      <c r="B307" t="s">
        <v>903</v>
      </c>
      <c r="C307">
        <v>246</v>
      </c>
      <c r="D307">
        <v>12</v>
      </c>
      <c r="E307"/>
      <c r="F307">
        <v>512</v>
      </c>
      <c r="G307">
        <v>200</v>
      </c>
      <c r="H307"/>
      <c r="I307">
        <v>6000</v>
      </c>
      <c r="J307">
        <v>6.1</v>
      </c>
      <c r="K307">
        <v>18</v>
      </c>
      <c r="L307" t="s">
        <v>38</v>
      </c>
      <c r="M307" t="s">
        <v>18</v>
      </c>
      <c r="N307" t="s">
        <v>19</v>
      </c>
      <c r="O307">
        <v>3.9</v>
      </c>
      <c r="P307" t="s">
        <v>42</v>
      </c>
      <c r="Q307">
        <v>2025</v>
      </c>
    </row>
    <row r="308" spans="1:17" hidden="1" x14ac:dyDescent="0.3">
      <c r="A308" t="s">
        <v>29</v>
      </c>
      <c r="B308" t="s">
        <v>953</v>
      </c>
      <c r="C308">
        <v>181</v>
      </c>
      <c r="D308">
        <v>12</v>
      </c>
      <c r="E308"/>
      <c r="F308">
        <v>512</v>
      </c>
      <c r="G308">
        <v>108</v>
      </c>
      <c r="H308"/>
      <c r="I308">
        <v>4000</v>
      </c>
      <c r="J308">
        <v>6.7</v>
      </c>
      <c r="K308">
        <v>120</v>
      </c>
      <c r="L308" t="s">
        <v>17</v>
      </c>
      <c r="M308" t="s">
        <v>18</v>
      </c>
      <c r="N308" t="s">
        <v>27</v>
      </c>
      <c r="O308">
        <v>3.9</v>
      </c>
      <c r="P308" t="s">
        <v>20</v>
      </c>
      <c r="Q308">
        <v>2025</v>
      </c>
    </row>
    <row r="309" spans="1:17" hidden="1" x14ac:dyDescent="0.3">
      <c r="A309" t="s">
        <v>49</v>
      </c>
      <c r="B309" t="s">
        <v>958</v>
      </c>
      <c r="C309">
        <v>1171</v>
      </c>
      <c r="D309">
        <v>12</v>
      </c>
      <c r="E309"/>
      <c r="F309">
        <v>256</v>
      </c>
      <c r="G309">
        <v>64</v>
      </c>
      <c r="H309"/>
      <c r="I309">
        <v>5500</v>
      </c>
      <c r="J309">
        <v>5.6</v>
      </c>
      <c r="K309">
        <v>120</v>
      </c>
      <c r="L309" t="s">
        <v>38</v>
      </c>
      <c r="M309" t="s">
        <v>18</v>
      </c>
      <c r="N309" t="s">
        <v>35</v>
      </c>
      <c r="O309">
        <v>3.9</v>
      </c>
      <c r="P309" t="s">
        <v>42</v>
      </c>
      <c r="Q309">
        <v>2025</v>
      </c>
    </row>
    <row r="310" spans="1:17" hidden="1" x14ac:dyDescent="0.3">
      <c r="A310" t="s">
        <v>66</v>
      </c>
      <c r="B310" t="s">
        <v>968</v>
      </c>
      <c r="C310">
        <v>528</v>
      </c>
      <c r="D310">
        <v>12</v>
      </c>
      <c r="E310"/>
      <c r="F310">
        <v>256</v>
      </c>
      <c r="G310">
        <v>64</v>
      </c>
      <c r="H310"/>
      <c r="I310">
        <v>5000</v>
      </c>
      <c r="J310">
        <v>6.8</v>
      </c>
      <c r="K310">
        <v>33</v>
      </c>
      <c r="L310" t="s">
        <v>17</v>
      </c>
      <c r="M310" t="s">
        <v>18</v>
      </c>
      <c r="N310" t="s">
        <v>35</v>
      </c>
      <c r="O310">
        <v>3.9</v>
      </c>
      <c r="P310" t="s">
        <v>28</v>
      </c>
      <c r="Q310">
        <v>2025</v>
      </c>
    </row>
    <row r="311" spans="1:17" hidden="1" x14ac:dyDescent="0.3">
      <c r="A311" t="s">
        <v>66</v>
      </c>
      <c r="B311" t="s">
        <v>975</v>
      </c>
      <c r="C311">
        <v>662</v>
      </c>
      <c r="D311">
        <v>12</v>
      </c>
      <c r="E311"/>
      <c r="F311">
        <v>128</v>
      </c>
      <c r="G311">
        <v>64</v>
      </c>
      <c r="H311"/>
      <c r="I311">
        <v>4500</v>
      </c>
      <c r="J311">
        <v>6.6</v>
      </c>
      <c r="K311">
        <v>120</v>
      </c>
      <c r="L311" t="s">
        <v>17</v>
      </c>
      <c r="M311" t="s">
        <v>18</v>
      </c>
      <c r="N311" t="s">
        <v>35</v>
      </c>
      <c r="O311">
        <v>3.9</v>
      </c>
      <c r="P311" t="s">
        <v>82</v>
      </c>
      <c r="Q311">
        <v>2025</v>
      </c>
    </row>
    <row r="312" spans="1:17" hidden="1" x14ac:dyDescent="0.3">
      <c r="A312" t="s">
        <v>25</v>
      </c>
      <c r="B312" t="s">
        <v>153</v>
      </c>
      <c r="C312">
        <v>758</v>
      </c>
      <c r="D312">
        <v>16</v>
      </c>
      <c r="E312"/>
      <c r="F312">
        <v>64</v>
      </c>
      <c r="G312">
        <v>12</v>
      </c>
      <c r="H312"/>
      <c r="I312">
        <v>5500</v>
      </c>
      <c r="J312">
        <v>5.9</v>
      </c>
      <c r="K312">
        <v>18</v>
      </c>
      <c r="L312" t="s">
        <v>38</v>
      </c>
      <c r="M312" t="s">
        <v>18</v>
      </c>
      <c r="N312" t="s">
        <v>61</v>
      </c>
      <c r="O312">
        <v>3.9</v>
      </c>
      <c r="P312" t="s">
        <v>56</v>
      </c>
      <c r="Q312">
        <v>2025</v>
      </c>
    </row>
    <row r="313" spans="1:17" hidden="1" x14ac:dyDescent="0.3">
      <c r="A313" t="s">
        <v>15</v>
      </c>
      <c r="B313" t="s">
        <v>207</v>
      </c>
      <c r="C313">
        <v>888</v>
      </c>
      <c r="D313">
        <v>16</v>
      </c>
      <c r="E313"/>
      <c r="F313">
        <v>128</v>
      </c>
      <c r="G313">
        <v>12</v>
      </c>
      <c r="H313"/>
      <c r="I313">
        <v>5500</v>
      </c>
      <c r="J313">
        <v>6.6</v>
      </c>
      <c r="K313">
        <v>120</v>
      </c>
      <c r="L313" t="s">
        <v>38</v>
      </c>
      <c r="M313" t="s">
        <v>18</v>
      </c>
      <c r="N313" t="s">
        <v>61</v>
      </c>
      <c r="O313">
        <v>3.9</v>
      </c>
      <c r="P313" t="s">
        <v>39</v>
      </c>
      <c r="Q313">
        <v>2025</v>
      </c>
    </row>
    <row r="314" spans="1:17" hidden="1" x14ac:dyDescent="0.3">
      <c r="A314" t="s">
        <v>40</v>
      </c>
      <c r="B314" t="s">
        <v>219</v>
      </c>
      <c r="C314">
        <v>613</v>
      </c>
      <c r="D314">
        <v>16</v>
      </c>
      <c r="E314"/>
      <c r="F314">
        <v>1024</v>
      </c>
      <c r="G314">
        <v>50</v>
      </c>
      <c r="H314"/>
      <c r="I314">
        <v>4500</v>
      </c>
      <c r="J314">
        <v>5.9</v>
      </c>
      <c r="K314">
        <v>44</v>
      </c>
      <c r="L314" t="s">
        <v>17</v>
      </c>
      <c r="M314" t="s">
        <v>18</v>
      </c>
      <c r="N314" t="s">
        <v>31</v>
      </c>
      <c r="O314">
        <v>3.9</v>
      </c>
      <c r="P314" t="s">
        <v>54</v>
      </c>
      <c r="Q314">
        <v>2025</v>
      </c>
    </row>
    <row r="315" spans="1:17" hidden="1" x14ac:dyDescent="0.3">
      <c r="A315" t="s">
        <v>32</v>
      </c>
      <c r="B315" t="s">
        <v>230</v>
      </c>
      <c r="C315">
        <v>1326</v>
      </c>
      <c r="D315">
        <v>16</v>
      </c>
      <c r="E315"/>
      <c r="F315">
        <v>64</v>
      </c>
      <c r="G315">
        <v>12</v>
      </c>
      <c r="H315"/>
      <c r="I315">
        <v>4000</v>
      </c>
      <c r="J315">
        <v>6</v>
      </c>
      <c r="K315">
        <v>120</v>
      </c>
      <c r="L315" t="s">
        <v>38</v>
      </c>
      <c r="M315" t="s">
        <v>34</v>
      </c>
      <c r="N315" t="s">
        <v>51</v>
      </c>
      <c r="O315">
        <v>3.9</v>
      </c>
      <c r="P315" t="s">
        <v>20</v>
      </c>
      <c r="Q315">
        <v>2025</v>
      </c>
    </row>
    <row r="316" spans="1:17" hidden="1" x14ac:dyDescent="0.3">
      <c r="A316" t="s">
        <v>29</v>
      </c>
      <c r="B316" t="s">
        <v>245</v>
      </c>
      <c r="C316">
        <v>363</v>
      </c>
      <c r="D316">
        <v>16</v>
      </c>
      <c r="E316"/>
      <c r="F316">
        <v>64</v>
      </c>
      <c r="G316">
        <v>200</v>
      </c>
      <c r="H316"/>
      <c r="I316">
        <v>6000</v>
      </c>
      <c r="J316">
        <v>6.8</v>
      </c>
      <c r="K316">
        <v>65</v>
      </c>
      <c r="L316" t="s">
        <v>17</v>
      </c>
      <c r="M316" t="s">
        <v>18</v>
      </c>
      <c r="N316" t="s">
        <v>19</v>
      </c>
      <c r="O316">
        <v>3.9</v>
      </c>
      <c r="P316" t="s">
        <v>28</v>
      </c>
      <c r="Q316">
        <v>2025</v>
      </c>
    </row>
    <row r="317" spans="1:17" hidden="1" x14ac:dyDescent="0.3">
      <c r="A317" t="s">
        <v>29</v>
      </c>
      <c r="B317" t="s">
        <v>462</v>
      </c>
      <c r="C317">
        <v>166</v>
      </c>
      <c r="D317">
        <v>16</v>
      </c>
      <c r="E317"/>
      <c r="F317">
        <v>128</v>
      </c>
      <c r="G317">
        <v>12</v>
      </c>
      <c r="H317"/>
      <c r="I317">
        <v>5500</v>
      </c>
      <c r="J317">
        <v>5.9</v>
      </c>
      <c r="K317">
        <v>100</v>
      </c>
      <c r="L317" t="s">
        <v>38</v>
      </c>
      <c r="M317" t="s">
        <v>18</v>
      </c>
      <c r="N317" t="s">
        <v>48</v>
      </c>
      <c r="O317">
        <v>3.9</v>
      </c>
      <c r="P317" t="s">
        <v>20</v>
      </c>
      <c r="Q317">
        <v>2025</v>
      </c>
    </row>
    <row r="318" spans="1:17" hidden="1" x14ac:dyDescent="0.3">
      <c r="A318" t="s">
        <v>40</v>
      </c>
      <c r="B318" t="s">
        <v>520</v>
      </c>
      <c r="C318">
        <v>282</v>
      </c>
      <c r="D318">
        <v>16</v>
      </c>
      <c r="E318"/>
      <c r="F318">
        <v>512</v>
      </c>
      <c r="G318">
        <v>200</v>
      </c>
      <c r="H318"/>
      <c r="I318">
        <v>5000</v>
      </c>
      <c r="J318">
        <v>6.9</v>
      </c>
      <c r="K318">
        <v>18</v>
      </c>
      <c r="L318" t="s">
        <v>38</v>
      </c>
      <c r="M318" t="s">
        <v>18</v>
      </c>
      <c r="N318" t="s">
        <v>23</v>
      </c>
      <c r="O318">
        <v>3.9</v>
      </c>
      <c r="P318" t="s">
        <v>28</v>
      </c>
      <c r="Q318">
        <v>2025</v>
      </c>
    </row>
    <row r="319" spans="1:17" x14ac:dyDescent="0.3">
      <c r="A319" t="s">
        <v>15</v>
      </c>
      <c r="B319" t="s">
        <v>630</v>
      </c>
      <c r="C319">
        <v>770</v>
      </c>
      <c r="D319">
        <v>12</v>
      </c>
      <c r="E319" s="8">
        <f>C319/D319</f>
        <v>64.166666666666671</v>
      </c>
      <c r="F319">
        <v>1024</v>
      </c>
      <c r="G319">
        <v>12</v>
      </c>
      <c r="H319" s="8">
        <f>C319/G319</f>
        <v>64.166666666666671</v>
      </c>
      <c r="I319">
        <v>4500</v>
      </c>
      <c r="J319">
        <v>5.9</v>
      </c>
      <c r="K319">
        <v>120</v>
      </c>
      <c r="L319" t="s">
        <v>38</v>
      </c>
      <c r="M319" t="s">
        <v>18</v>
      </c>
      <c r="N319" t="s">
        <v>61</v>
      </c>
      <c r="O319">
        <v>3.9</v>
      </c>
      <c r="P319" t="s">
        <v>20</v>
      </c>
      <c r="Q319">
        <v>2025</v>
      </c>
    </row>
    <row r="320" spans="1:17" hidden="1" x14ac:dyDescent="0.3">
      <c r="A320" t="s">
        <v>32</v>
      </c>
      <c r="B320" t="s">
        <v>659</v>
      </c>
      <c r="C320">
        <v>1291</v>
      </c>
      <c r="D320">
        <v>16</v>
      </c>
      <c r="E320"/>
      <c r="F320">
        <v>1024</v>
      </c>
      <c r="G320">
        <v>64</v>
      </c>
      <c r="H320"/>
      <c r="I320">
        <v>4500</v>
      </c>
      <c r="J320">
        <v>6.8</v>
      </c>
      <c r="K320">
        <v>100</v>
      </c>
      <c r="L320" t="s">
        <v>17</v>
      </c>
      <c r="M320" t="s">
        <v>34</v>
      </c>
      <c r="N320" t="s">
        <v>35</v>
      </c>
      <c r="O320">
        <v>3.9</v>
      </c>
      <c r="P320" t="s">
        <v>44</v>
      </c>
      <c r="Q320">
        <v>2025</v>
      </c>
    </row>
    <row r="321" spans="1:17" hidden="1" x14ac:dyDescent="0.3">
      <c r="A321" t="s">
        <v>21</v>
      </c>
      <c r="B321" t="s">
        <v>665</v>
      </c>
      <c r="C321">
        <v>1147</v>
      </c>
      <c r="D321">
        <v>16</v>
      </c>
      <c r="E321"/>
      <c r="F321">
        <v>256</v>
      </c>
      <c r="G321">
        <v>50</v>
      </c>
      <c r="H321"/>
      <c r="I321">
        <v>5500</v>
      </c>
      <c r="J321">
        <v>5.9</v>
      </c>
      <c r="K321">
        <v>33</v>
      </c>
      <c r="L321" t="s">
        <v>17</v>
      </c>
      <c r="M321" t="s">
        <v>18</v>
      </c>
      <c r="N321" t="s">
        <v>35</v>
      </c>
      <c r="O321">
        <v>3.9</v>
      </c>
      <c r="P321" t="s">
        <v>20</v>
      </c>
      <c r="Q321">
        <v>2025</v>
      </c>
    </row>
    <row r="322" spans="1:17" hidden="1" x14ac:dyDescent="0.3">
      <c r="A322" t="s">
        <v>15</v>
      </c>
      <c r="B322" t="s">
        <v>693</v>
      </c>
      <c r="C322">
        <v>1261</v>
      </c>
      <c r="D322">
        <v>16</v>
      </c>
      <c r="E322"/>
      <c r="F322">
        <v>512</v>
      </c>
      <c r="G322">
        <v>50</v>
      </c>
      <c r="H322"/>
      <c r="I322">
        <v>5500</v>
      </c>
      <c r="J322">
        <v>6.3</v>
      </c>
      <c r="K322">
        <v>65</v>
      </c>
      <c r="L322" t="s">
        <v>17</v>
      </c>
      <c r="M322" t="s">
        <v>18</v>
      </c>
      <c r="N322" t="s">
        <v>27</v>
      </c>
      <c r="O322">
        <v>3.9</v>
      </c>
      <c r="P322" t="s">
        <v>24</v>
      </c>
      <c r="Q322">
        <v>2025</v>
      </c>
    </row>
    <row r="323" spans="1:17" hidden="1" x14ac:dyDescent="0.3">
      <c r="A323" t="s">
        <v>49</v>
      </c>
      <c r="B323" t="s">
        <v>698</v>
      </c>
      <c r="C323">
        <v>899</v>
      </c>
      <c r="D323">
        <v>16</v>
      </c>
      <c r="E323"/>
      <c r="F323">
        <v>128</v>
      </c>
      <c r="G323">
        <v>64</v>
      </c>
      <c r="H323"/>
      <c r="I323">
        <v>6000</v>
      </c>
      <c r="J323">
        <v>5.9</v>
      </c>
      <c r="K323">
        <v>18</v>
      </c>
      <c r="L323" t="s">
        <v>17</v>
      </c>
      <c r="M323" t="s">
        <v>18</v>
      </c>
      <c r="N323" t="s">
        <v>48</v>
      </c>
      <c r="O323">
        <v>3.9</v>
      </c>
      <c r="P323" t="s">
        <v>28</v>
      </c>
      <c r="Q323">
        <v>2025</v>
      </c>
    </row>
    <row r="324" spans="1:17" hidden="1" x14ac:dyDescent="0.3">
      <c r="A324" t="s">
        <v>49</v>
      </c>
      <c r="B324" t="s">
        <v>735</v>
      </c>
      <c r="C324">
        <v>1109</v>
      </c>
      <c r="D324">
        <v>4</v>
      </c>
      <c r="E324" s="8">
        <f>C324/D324</f>
        <v>277.25</v>
      </c>
      <c r="F324">
        <v>64</v>
      </c>
      <c r="G324">
        <v>108</v>
      </c>
      <c r="H324" s="8">
        <f>C324/G324</f>
        <v>10.268518518518519</v>
      </c>
      <c r="I324">
        <v>6000</v>
      </c>
      <c r="J324">
        <v>6.1</v>
      </c>
      <c r="K324">
        <v>120</v>
      </c>
      <c r="L324" t="s">
        <v>17</v>
      </c>
      <c r="M324" t="s">
        <v>18</v>
      </c>
      <c r="N324" t="s">
        <v>27</v>
      </c>
      <c r="O324">
        <v>3.9</v>
      </c>
      <c r="P324" t="s">
        <v>28</v>
      </c>
      <c r="Q324">
        <v>2025</v>
      </c>
    </row>
    <row r="325" spans="1:17" hidden="1" x14ac:dyDescent="0.3">
      <c r="A325" t="s">
        <v>49</v>
      </c>
      <c r="B325" t="s">
        <v>933</v>
      </c>
      <c r="C325">
        <v>986</v>
      </c>
      <c r="D325">
        <v>16</v>
      </c>
      <c r="E325"/>
      <c r="F325">
        <v>64</v>
      </c>
      <c r="G325">
        <v>108</v>
      </c>
      <c r="H325"/>
      <c r="I325">
        <v>4000</v>
      </c>
      <c r="J325">
        <v>5.9</v>
      </c>
      <c r="K325">
        <v>33</v>
      </c>
      <c r="L325" t="s">
        <v>38</v>
      </c>
      <c r="M325" t="s">
        <v>18</v>
      </c>
      <c r="N325" t="s">
        <v>27</v>
      </c>
      <c r="O325">
        <v>3.9</v>
      </c>
      <c r="P325" t="s">
        <v>64</v>
      </c>
      <c r="Q325">
        <v>2025</v>
      </c>
    </row>
    <row r="326" spans="1:17" hidden="1" x14ac:dyDescent="0.3">
      <c r="A326" t="s">
        <v>40</v>
      </c>
      <c r="B326" t="s">
        <v>936</v>
      </c>
      <c r="C326">
        <v>724</v>
      </c>
      <c r="D326">
        <v>16</v>
      </c>
      <c r="E326"/>
      <c r="F326">
        <v>256</v>
      </c>
      <c r="G326">
        <v>50</v>
      </c>
      <c r="H326"/>
      <c r="I326">
        <v>4000</v>
      </c>
      <c r="J326">
        <v>7.1</v>
      </c>
      <c r="K326">
        <v>44</v>
      </c>
      <c r="L326" t="s">
        <v>38</v>
      </c>
      <c r="M326" t="s">
        <v>18</v>
      </c>
      <c r="N326" t="s">
        <v>61</v>
      </c>
      <c r="O326">
        <v>3.9</v>
      </c>
      <c r="P326" t="s">
        <v>71</v>
      </c>
      <c r="Q326">
        <v>2025</v>
      </c>
    </row>
    <row r="327" spans="1:17" hidden="1" x14ac:dyDescent="0.3">
      <c r="A327" t="s">
        <v>25</v>
      </c>
      <c r="B327" t="s">
        <v>1039</v>
      </c>
      <c r="C327">
        <v>458</v>
      </c>
      <c r="D327">
        <v>16</v>
      </c>
      <c r="E327"/>
      <c r="F327">
        <v>512</v>
      </c>
      <c r="G327">
        <v>64</v>
      </c>
      <c r="H327"/>
      <c r="I327">
        <v>4500</v>
      </c>
      <c r="J327">
        <v>5.8</v>
      </c>
      <c r="K327">
        <v>18</v>
      </c>
      <c r="L327" t="s">
        <v>38</v>
      </c>
      <c r="M327" t="s">
        <v>18</v>
      </c>
      <c r="N327" t="s">
        <v>27</v>
      </c>
      <c r="O327">
        <v>3.9</v>
      </c>
      <c r="P327" t="s">
        <v>46</v>
      </c>
      <c r="Q327">
        <v>2025</v>
      </c>
    </row>
    <row r="328" spans="1:17" hidden="1" x14ac:dyDescent="0.3">
      <c r="A328" t="s">
        <v>66</v>
      </c>
      <c r="B328" t="s">
        <v>215</v>
      </c>
      <c r="C328">
        <v>358</v>
      </c>
      <c r="D328">
        <v>4</v>
      </c>
      <c r="E328"/>
      <c r="F328">
        <v>1024</v>
      </c>
      <c r="G328">
        <v>50</v>
      </c>
      <c r="H328"/>
      <c r="I328">
        <v>5500</v>
      </c>
      <c r="J328">
        <v>7.1</v>
      </c>
      <c r="K328">
        <v>44</v>
      </c>
      <c r="L328" t="s">
        <v>38</v>
      </c>
      <c r="M328" t="s">
        <v>18</v>
      </c>
      <c r="N328" t="s">
        <v>48</v>
      </c>
      <c r="O328">
        <v>4</v>
      </c>
      <c r="P328" t="s">
        <v>56</v>
      </c>
      <c r="Q328">
        <v>2025</v>
      </c>
    </row>
    <row r="329" spans="1:17" hidden="1" x14ac:dyDescent="0.3">
      <c r="A329" t="s">
        <v>25</v>
      </c>
      <c r="B329" t="s">
        <v>298</v>
      </c>
      <c r="C329">
        <v>636</v>
      </c>
      <c r="D329">
        <v>4</v>
      </c>
      <c r="E329"/>
      <c r="F329">
        <v>256</v>
      </c>
      <c r="G329">
        <v>108</v>
      </c>
      <c r="H329"/>
      <c r="I329">
        <v>5500</v>
      </c>
      <c r="J329">
        <v>7</v>
      </c>
      <c r="K329">
        <v>65</v>
      </c>
      <c r="L329" t="s">
        <v>38</v>
      </c>
      <c r="M329" t="s">
        <v>18</v>
      </c>
      <c r="N329" t="s">
        <v>31</v>
      </c>
      <c r="O329">
        <v>4</v>
      </c>
      <c r="P329" t="s">
        <v>20</v>
      </c>
      <c r="Q329">
        <v>2025</v>
      </c>
    </row>
    <row r="330" spans="1:17" x14ac:dyDescent="0.3">
      <c r="A330" t="s">
        <v>21</v>
      </c>
      <c r="B330" t="s">
        <v>107</v>
      </c>
      <c r="C330">
        <v>101</v>
      </c>
      <c r="D330">
        <v>12</v>
      </c>
      <c r="E330" s="8">
        <f>C330/D330</f>
        <v>8.4166666666666661</v>
      </c>
      <c r="F330">
        <v>1024</v>
      </c>
      <c r="G330">
        <v>50</v>
      </c>
      <c r="H330" s="8">
        <f>C330/G330</f>
        <v>2.02</v>
      </c>
      <c r="I330">
        <v>5000</v>
      </c>
      <c r="J330">
        <v>5.6</v>
      </c>
      <c r="K330">
        <v>18</v>
      </c>
      <c r="L330" t="s">
        <v>38</v>
      </c>
      <c r="M330" t="s">
        <v>18</v>
      </c>
      <c r="N330" t="s">
        <v>19</v>
      </c>
      <c r="O330">
        <v>4</v>
      </c>
      <c r="P330" t="s">
        <v>44</v>
      </c>
      <c r="Q330">
        <v>2025</v>
      </c>
    </row>
    <row r="331" spans="1:17" hidden="1" x14ac:dyDescent="0.3">
      <c r="A331" t="s">
        <v>21</v>
      </c>
      <c r="B331" t="s">
        <v>409</v>
      </c>
      <c r="C331">
        <v>175</v>
      </c>
      <c r="D331">
        <v>4</v>
      </c>
      <c r="E331"/>
      <c r="F331">
        <v>64</v>
      </c>
      <c r="G331">
        <v>200</v>
      </c>
      <c r="H331"/>
      <c r="I331">
        <v>5500</v>
      </c>
      <c r="J331">
        <v>5.8</v>
      </c>
      <c r="K331">
        <v>44</v>
      </c>
      <c r="L331" t="s">
        <v>38</v>
      </c>
      <c r="M331" t="s">
        <v>18</v>
      </c>
      <c r="N331" t="s">
        <v>48</v>
      </c>
      <c r="O331">
        <v>4</v>
      </c>
      <c r="P331" t="s">
        <v>71</v>
      </c>
      <c r="Q331">
        <v>2025</v>
      </c>
    </row>
    <row r="332" spans="1:17" x14ac:dyDescent="0.3">
      <c r="A332" t="s">
        <v>49</v>
      </c>
      <c r="B332" t="s">
        <v>595</v>
      </c>
      <c r="C332">
        <v>1034</v>
      </c>
      <c r="D332">
        <v>16</v>
      </c>
      <c r="E332" s="8">
        <f>C332/D332</f>
        <v>64.625</v>
      </c>
      <c r="F332">
        <v>64</v>
      </c>
      <c r="G332">
        <v>48</v>
      </c>
      <c r="H332" s="8">
        <f>C332/G332</f>
        <v>21.541666666666668</v>
      </c>
      <c r="I332">
        <v>6000</v>
      </c>
      <c r="J332">
        <v>6.1</v>
      </c>
      <c r="K332">
        <v>18</v>
      </c>
      <c r="L332" t="s">
        <v>38</v>
      </c>
      <c r="M332" t="s">
        <v>18</v>
      </c>
      <c r="N332" t="s">
        <v>51</v>
      </c>
      <c r="O332">
        <v>4</v>
      </c>
      <c r="P332" t="s">
        <v>64</v>
      </c>
      <c r="Q332">
        <v>2025</v>
      </c>
    </row>
    <row r="333" spans="1:17" hidden="1" x14ac:dyDescent="0.3">
      <c r="A333" t="s">
        <v>29</v>
      </c>
      <c r="B333" t="s">
        <v>440</v>
      </c>
      <c r="C333">
        <v>1159</v>
      </c>
      <c r="D333">
        <v>4</v>
      </c>
      <c r="E333"/>
      <c r="F333">
        <v>128</v>
      </c>
      <c r="G333">
        <v>48</v>
      </c>
      <c r="H333"/>
      <c r="I333">
        <v>4000</v>
      </c>
      <c r="J333">
        <v>7.1</v>
      </c>
      <c r="K333">
        <v>44</v>
      </c>
      <c r="L333" t="s">
        <v>38</v>
      </c>
      <c r="M333" t="s">
        <v>18</v>
      </c>
      <c r="N333" t="s">
        <v>31</v>
      </c>
      <c r="O333">
        <v>4</v>
      </c>
      <c r="P333" t="s">
        <v>46</v>
      </c>
      <c r="Q333">
        <v>2025</v>
      </c>
    </row>
    <row r="334" spans="1:17" hidden="1" x14ac:dyDescent="0.3">
      <c r="A334" t="s">
        <v>40</v>
      </c>
      <c r="B334" t="s">
        <v>486</v>
      </c>
      <c r="C334">
        <v>1464</v>
      </c>
      <c r="D334">
        <v>4</v>
      </c>
      <c r="E334"/>
      <c r="F334">
        <v>512</v>
      </c>
      <c r="G334">
        <v>48</v>
      </c>
      <c r="H334"/>
      <c r="I334">
        <v>4000</v>
      </c>
      <c r="J334">
        <v>6.9</v>
      </c>
      <c r="K334">
        <v>18</v>
      </c>
      <c r="L334" t="s">
        <v>17</v>
      </c>
      <c r="M334" t="s">
        <v>18</v>
      </c>
      <c r="N334" t="s">
        <v>31</v>
      </c>
      <c r="O334">
        <v>4</v>
      </c>
      <c r="P334" t="s">
        <v>42</v>
      </c>
      <c r="Q334">
        <v>2025</v>
      </c>
    </row>
    <row r="335" spans="1:17" hidden="1" x14ac:dyDescent="0.3">
      <c r="A335" t="s">
        <v>66</v>
      </c>
      <c r="B335" t="s">
        <v>592</v>
      </c>
      <c r="C335">
        <v>966</v>
      </c>
      <c r="D335">
        <v>4</v>
      </c>
      <c r="E335"/>
      <c r="F335">
        <v>512</v>
      </c>
      <c r="G335">
        <v>64</v>
      </c>
      <c r="H335"/>
      <c r="I335">
        <v>6000</v>
      </c>
      <c r="J335">
        <v>6.8</v>
      </c>
      <c r="K335">
        <v>44</v>
      </c>
      <c r="L335" t="s">
        <v>38</v>
      </c>
      <c r="M335" t="s">
        <v>18</v>
      </c>
      <c r="N335" t="s">
        <v>27</v>
      </c>
      <c r="O335">
        <v>4</v>
      </c>
      <c r="P335" t="s">
        <v>54</v>
      </c>
      <c r="Q335">
        <v>2025</v>
      </c>
    </row>
    <row r="336" spans="1:17" hidden="1" x14ac:dyDescent="0.3">
      <c r="A336" t="s">
        <v>66</v>
      </c>
      <c r="B336" t="s">
        <v>612</v>
      </c>
      <c r="C336">
        <v>983</v>
      </c>
      <c r="D336">
        <v>4</v>
      </c>
      <c r="E336"/>
      <c r="F336">
        <v>512</v>
      </c>
      <c r="G336">
        <v>50</v>
      </c>
      <c r="H336"/>
      <c r="I336">
        <v>5000</v>
      </c>
      <c r="J336">
        <v>6.8</v>
      </c>
      <c r="K336">
        <v>100</v>
      </c>
      <c r="L336" t="s">
        <v>17</v>
      </c>
      <c r="M336" t="s">
        <v>18</v>
      </c>
      <c r="N336" t="s">
        <v>35</v>
      </c>
      <c r="O336">
        <v>4</v>
      </c>
      <c r="P336" t="s">
        <v>64</v>
      </c>
      <c r="Q336">
        <v>2025</v>
      </c>
    </row>
    <row r="337" spans="1:17" hidden="1" x14ac:dyDescent="0.3">
      <c r="A337" t="s">
        <v>25</v>
      </c>
      <c r="B337" t="s">
        <v>638</v>
      </c>
      <c r="C337">
        <v>1231</v>
      </c>
      <c r="D337">
        <v>4</v>
      </c>
      <c r="E337"/>
      <c r="F337">
        <v>128</v>
      </c>
      <c r="G337">
        <v>50</v>
      </c>
      <c r="H337"/>
      <c r="I337">
        <v>6000</v>
      </c>
      <c r="J337">
        <v>6.5</v>
      </c>
      <c r="K337">
        <v>33</v>
      </c>
      <c r="L337" t="s">
        <v>38</v>
      </c>
      <c r="M337" t="s">
        <v>18</v>
      </c>
      <c r="N337" t="s">
        <v>31</v>
      </c>
      <c r="O337">
        <v>4</v>
      </c>
      <c r="P337" t="s">
        <v>28</v>
      </c>
      <c r="Q337">
        <v>2025</v>
      </c>
    </row>
    <row r="338" spans="1:17" hidden="1" x14ac:dyDescent="0.3">
      <c r="A338" t="s">
        <v>66</v>
      </c>
      <c r="B338" t="s">
        <v>672</v>
      </c>
      <c r="C338">
        <v>131</v>
      </c>
      <c r="D338">
        <v>4</v>
      </c>
      <c r="E338"/>
      <c r="F338">
        <v>1024</v>
      </c>
      <c r="G338">
        <v>200</v>
      </c>
      <c r="H338"/>
      <c r="I338">
        <v>6000</v>
      </c>
      <c r="J338">
        <v>6.6</v>
      </c>
      <c r="K338">
        <v>18</v>
      </c>
      <c r="L338" t="s">
        <v>17</v>
      </c>
      <c r="M338" t="s">
        <v>18</v>
      </c>
      <c r="N338" t="s">
        <v>23</v>
      </c>
      <c r="O338">
        <v>4</v>
      </c>
      <c r="P338" t="s">
        <v>46</v>
      </c>
      <c r="Q338">
        <v>2025</v>
      </c>
    </row>
    <row r="339" spans="1:17" hidden="1" x14ac:dyDescent="0.3">
      <c r="A339" t="s">
        <v>25</v>
      </c>
      <c r="B339" t="s">
        <v>741</v>
      </c>
      <c r="C339">
        <v>1255</v>
      </c>
      <c r="D339">
        <v>4</v>
      </c>
      <c r="E339"/>
      <c r="F339">
        <v>512</v>
      </c>
      <c r="G339">
        <v>50</v>
      </c>
      <c r="H339"/>
      <c r="I339">
        <v>5500</v>
      </c>
      <c r="J339">
        <v>6</v>
      </c>
      <c r="K339">
        <v>18</v>
      </c>
      <c r="L339" t="s">
        <v>17</v>
      </c>
      <c r="M339" t="s">
        <v>18</v>
      </c>
      <c r="N339" t="s">
        <v>31</v>
      </c>
      <c r="O339">
        <v>4</v>
      </c>
      <c r="P339" t="s">
        <v>64</v>
      </c>
      <c r="Q339">
        <v>2025</v>
      </c>
    </row>
    <row r="340" spans="1:17" hidden="1" x14ac:dyDescent="0.3">
      <c r="A340" t="s">
        <v>40</v>
      </c>
      <c r="B340" t="s">
        <v>775</v>
      </c>
      <c r="C340">
        <v>297</v>
      </c>
      <c r="D340">
        <v>4</v>
      </c>
      <c r="E340"/>
      <c r="F340">
        <v>1024</v>
      </c>
      <c r="G340">
        <v>108</v>
      </c>
      <c r="H340"/>
      <c r="I340">
        <v>4500</v>
      </c>
      <c r="J340">
        <v>6</v>
      </c>
      <c r="K340">
        <v>120</v>
      </c>
      <c r="L340" t="s">
        <v>17</v>
      </c>
      <c r="M340" t="s">
        <v>18</v>
      </c>
      <c r="N340" t="s">
        <v>19</v>
      </c>
      <c r="O340">
        <v>4</v>
      </c>
      <c r="P340" t="s">
        <v>64</v>
      </c>
      <c r="Q340">
        <v>2025</v>
      </c>
    </row>
    <row r="341" spans="1:17" hidden="1" x14ac:dyDescent="0.3">
      <c r="A341" t="s">
        <v>32</v>
      </c>
      <c r="B341" t="s">
        <v>795</v>
      </c>
      <c r="C341">
        <v>139</v>
      </c>
      <c r="D341">
        <v>4</v>
      </c>
      <c r="E341"/>
      <c r="F341">
        <v>64</v>
      </c>
      <c r="G341">
        <v>50</v>
      </c>
      <c r="H341"/>
      <c r="I341">
        <v>4500</v>
      </c>
      <c r="J341">
        <v>5.9</v>
      </c>
      <c r="K341">
        <v>120</v>
      </c>
      <c r="L341" t="s">
        <v>38</v>
      </c>
      <c r="M341" t="s">
        <v>34</v>
      </c>
      <c r="N341" t="s">
        <v>48</v>
      </c>
      <c r="O341">
        <v>4</v>
      </c>
      <c r="P341" t="s">
        <v>82</v>
      </c>
      <c r="Q341">
        <v>2025</v>
      </c>
    </row>
    <row r="342" spans="1:17" hidden="1" x14ac:dyDescent="0.3">
      <c r="A342" t="s">
        <v>36</v>
      </c>
      <c r="B342" t="s">
        <v>999</v>
      </c>
      <c r="C342">
        <v>429</v>
      </c>
      <c r="D342">
        <v>4</v>
      </c>
      <c r="E342"/>
      <c r="F342">
        <v>512</v>
      </c>
      <c r="G342">
        <v>48</v>
      </c>
      <c r="H342"/>
      <c r="I342">
        <v>4000</v>
      </c>
      <c r="J342">
        <v>5.9</v>
      </c>
      <c r="K342">
        <v>100</v>
      </c>
      <c r="L342" t="s">
        <v>38</v>
      </c>
      <c r="M342" t="s">
        <v>18</v>
      </c>
      <c r="N342" t="s">
        <v>35</v>
      </c>
      <c r="O342">
        <v>4</v>
      </c>
      <c r="P342" t="s">
        <v>54</v>
      </c>
      <c r="Q342">
        <v>2025</v>
      </c>
    </row>
    <row r="343" spans="1:17" hidden="1" x14ac:dyDescent="0.3">
      <c r="A343" t="s">
        <v>40</v>
      </c>
      <c r="B343" t="s">
        <v>45</v>
      </c>
      <c r="C343">
        <v>1354</v>
      </c>
      <c r="D343">
        <v>6</v>
      </c>
      <c r="E343"/>
      <c r="F343">
        <v>1024</v>
      </c>
      <c r="G343">
        <v>12</v>
      </c>
      <c r="H343"/>
      <c r="I343">
        <v>5500</v>
      </c>
      <c r="J343">
        <v>5.7</v>
      </c>
      <c r="K343">
        <v>18</v>
      </c>
      <c r="L343" t="s">
        <v>17</v>
      </c>
      <c r="M343" t="s">
        <v>18</v>
      </c>
      <c r="N343" t="s">
        <v>23</v>
      </c>
      <c r="O343">
        <v>4</v>
      </c>
      <c r="P343" t="s">
        <v>46</v>
      </c>
      <c r="Q343">
        <v>2025</v>
      </c>
    </row>
    <row r="344" spans="1:17" hidden="1" x14ac:dyDescent="0.3">
      <c r="A344" t="s">
        <v>25</v>
      </c>
      <c r="B344" t="s">
        <v>58</v>
      </c>
      <c r="C344">
        <v>277</v>
      </c>
      <c r="D344">
        <v>6</v>
      </c>
      <c r="E344"/>
      <c r="F344">
        <v>256</v>
      </c>
      <c r="G344">
        <v>108</v>
      </c>
      <c r="H344"/>
      <c r="I344">
        <v>4500</v>
      </c>
      <c r="J344">
        <v>7.1</v>
      </c>
      <c r="K344">
        <v>18</v>
      </c>
      <c r="L344" t="s">
        <v>38</v>
      </c>
      <c r="M344" t="s">
        <v>18</v>
      </c>
      <c r="N344" t="s">
        <v>19</v>
      </c>
      <c r="O344">
        <v>4</v>
      </c>
      <c r="P344" t="s">
        <v>39</v>
      </c>
      <c r="Q344">
        <v>2025</v>
      </c>
    </row>
    <row r="345" spans="1:17" hidden="1" x14ac:dyDescent="0.3">
      <c r="A345" t="s">
        <v>15</v>
      </c>
      <c r="B345" t="s">
        <v>154</v>
      </c>
      <c r="C345">
        <v>166</v>
      </c>
      <c r="D345">
        <v>6</v>
      </c>
      <c r="E345"/>
      <c r="F345">
        <v>64</v>
      </c>
      <c r="G345">
        <v>64</v>
      </c>
      <c r="H345"/>
      <c r="I345">
        <v>6000</v>
      </c>
      <c r="J345">
        <v>6.6</v>
      </c>
      <c r="K345">
        <v>100</v>
      </c>
      <c r="L345" t="s">
        <v>38</v>
      </c>
      <c r="M345" t="s">
        <v>18</v>
      </c>
      <c r="N345" t="s">
        <v>51</v>
      </c>
      <c r="O345">
        <v>4</v>
      </c>
      <c r="P345" t="s">
        <v>71</v>
      </c>
      <c r="Q345">
        <v>2025</v>
      </c>
    </row>
    <row r="346" spans="1:17" hidden="1" x14ac:dyDescent="0.3">
      <c r="A346" t="s">
        <v>49</v>
      </c>
      <c r="B346" t="s">
        <v>261</v>
      </c>
      <c r="C346">
        <v>992</v>
      </c>
      <c r="D346">
        <v>6</v>
      </c>
      <c r="E346"/>
      <c r="F346">
        <v>64</v>
      </c>
      <c r="G346">
        <v>200</v>
      </c>
      <c r="H346"/>
      <c r="I346">
        <v>6000</v>
      </c>
      <c r="J346">
        <v>5.6</v>
      </c>
      <c r="K346">
        <v>33</v>
      </c>
      <c r="L346" t="s">
        <v>38</v>
      </c>
      <c r="M346" t="s">
        <v>18</v>
      </c>
      <c r="N346" t="s">
        <v>23</v>
      </c>
      <c r="O346">
        <v>4</v>
      </c>
      <c r="P346" t="s">
        <v>20</v>
      </c>
      <c r="Q346">
        <v>2025</v>
      </c>
    </row>
    <row r="347" spans="1:17" hidden="1" x14ac:dyDescent="0.3">
      <c r="A347" t="s">
        <v>49</v>
      </c>
      <c r="B347" t="s">
        <v>373</v>
      </c>
      <c r="C347">
        <v>1221</v>
      </c>
      <c r="D347">
        <v>6</v>
      </c>
      <c r="E347"/>
      <c r="F347">
        <v>1024</v>
      </c>
      <c r="G347">
        <v>50</v>
      </c>
      <c r="H347"/>
      <c r="I347">
        <v>5000</v>
      </c>
      <c r="J347">
        <v>6.3</v>
      </c>
      <c r="K347">
        <v>120</v>
      </c>
      <c r="L347" t="s">
        <v>17</v>
      </c>
      <c r="M347" t="s">
        <v>18</v>
      </c>
      <c r="N347" t="s">
        <v>35</v>
      </c>
      <c r="O347">
        <v>4</v>
      </c>
      <c r="P347" t="s">
        <v>71</v>
      </c>
      <c r="Q347">
        <v>2025</v>
      </c>
    </row>
    <row r="348" spans="1:17" hidden="1" x14ac:dyDescent="0.3">
      <c r="A348" t="s">
        <v>49</v>
      </c>
      <c r="B348" t="s">
        <v>465</v>
      </c>
      <c r="C348">
        <v>837</v>
      </c>
      <c r="D348">
        <v>6</v>
      </c>
      <c r="E348"/>
      <c r="F348">
        <v>1024</v>
      </c>
      <c r="G348">
        <v>48</v>
      </c>
      <c r="H348"/>
      <c r="I348">
        <v>4000</v>
      </c>
      <c r="J348">
        <v>6.7</v>
      </c>
      <c r="K348">
        <v>18</v>
      </c>
      <c r="L348" t="s">
        <v>38</v>
      </c>
      <c r="M348" t="s">
        <v>18</v>
      </c>
      <c r="N348" t="s">
        <v>19</v>
      </c>
      <c r="O348">
        <v>4</v>
      </c>
      <c r="P348" t="s">
        <v>28</v>
      </c>
      <c r="Q348">
        <v>2025</v>
      </c>
    </row>
    <row r="349" spans="1:17" hidden="1" x14ac:dyDescent="0.3">
      <c r="A349" t="s">
        <v>29</v>
      </c>
      <c r="B349" t="s">
        <v>582</v>
      </c>
      <c r="C349">
        <v>823</v>
      </c>
      <c r="D349">
        <v>6</v>
      </c>
      <c r="E349"/>
      <c r="F349">
        <v>512</v>
      </c>
      <c r="G349">
        <v>108</v>
      </c>
      <c r="H349"/>
      <c r="I349">
        <v>4000</v>
      </c>
      <c r="J349">
        <v>6</v>
      </c>
      <c r="K349">
        <v>33</v>
      </c>
      <c r="L349" t="s">
        <v>38</v>
      </c>
      <c r="M349" t="s">
        <v>18</v>
      </c>
      <c r="N349" t="s">
        <v>27</v>
      </c>
      <c r="O349">
        <v>4</v>
      </c>
      <c r="P349" t="s">
        <v>28</v>
      </c>
      <c r="Q349">
        <v>2025</v>
      </c>
    </row>
    <row r="350" spans="1:17" hidden="1" x14ac:dyDescent="0.3">
      <c r="A350" t="s">
        <v>29</v>
      </c>
      <c r="B350" t="s">
        <v>781</v>
      </c>
      <c r="C350">
        <v>638</v>
      </c>
      <c r="D350">
        <v>6</v>
      </c>
      <c r="E350"/>
      <c r="F350">
        <v>64</v>
      </c>
      <c r="G350">
        <v>48</v>
      </c>
      <c r="H350"/>
      <c r="I350">
        <v>6000</v>
      </c>
      <c r="J350">
        <v>7.2</v>
      </c>
      <c r="K350">
        <v>18</v>
      </c>
      <c r="L350" t="s">
        <v>17</v>
      </c>
      <c r="M350" t="s">
        <v>18</v>
      </c>
      <c r="N350" t="s">
        <v>19</v>
      </c>
      <c r="O350">
        <v>4</v>
      </c>
      <c r="P350" t="s">
        <v>56</v>
      </c>
      <c r="Q350">
        <v>2025</v>
      </c>
    </row>
    <row r="351" spans="1:17" hidden="1" x14ac:dyDescent="0.3">
      <c r="A351" t="s">
        <v>66</v>
      </c>
      <c r="B351" t="s">
        <v>789</v>
      </c>
      <c r="C351">
        <v>356</v>
      </c>
      <c r="D351">
        <v>6</v>
      </c>
      <c r="E351"/>
      <c r="F351">
        <v>512</v>
      </c>
      <c r="G351">
        <v>108</v>
      </c>
      <c r="H351"/>
      <c r="I351">
        <v>4500</v>
      </c>
      <c r="J351">
        <v>6.5</v>
      </c>
      <c r="K351">
        <v>33</v>
      </c>
      <c r="L351" t="s">
        <v>38</v>
      </c>
      <c r="M351" t="s">
        <v>18</v>
      </c>
      <c r="N351" t="s">
        <v>35</v>
      </c>
      <c r="O351">
        <v>4</v>
      </c>
      <c r="P351" t="s">
        <v>64</v>
      </c>
      <c r="Q351">
        <v>2025</v>
      </c>
    </row>
    <row r="352" spans="1:17" hidden="1" x14ac:dyDescent="0.3">
      <c r="A352" t="s">
        <v>36</v>
      </c>
      <c r="B352" t="s">
        <v>844</v>
      </c>
      <c r="C352">
        <v>1462</v>
      </c>
      <c r="D352">
        <v>6</v>
      </c>
      <c r="E352"/>
      <c r="F352">
        <v>128</v>
      </c>
      <c r="G352">
        <v>12</v>
      </c>
      <c r="H352"/>
      <c r="I352">
        <v>5000</v>
      </c>
      <c r="J352">
        <v>5.8</v>
      </c>
      <c r="K352">
        <v>44</v>
      </c>
      <c r="L352" t="s">
        <v>17</v>
      </c>
      <c r="M352" t="s">
        <v>18</v>
      </c>
      <c r="N352" t="s">
        <v>61</v>
      </c>
      <c r="O352">
        <v>4</v>
      </c>
      <c r="P352" t="s">
        <v>82</v>
      </c>
      <c r="Q352">
        <v>2025</v>
      </c>
    </row>
    <row r="353" spans="1:17" hidden="1" x14ac:dyDescent="0.3">
      <c r="A353" t="s">
        <v>36</v>
      </c>
      <c r="B353" t="s">
        <v>332</v>
      </c>
      <c r="C353">
        <v>1450</v>
      </c>
      <c r="D353">
        <v>12</v>
      </c>
      <c r="E353" s="8">
        <f>C353/D353</f>
        <v>120.83333333333333</v>
      </c>
      <c r="F353">
        <v>1024</v>
      </c>
      <c r="G353">
        <v>200</v>
      </c>
      <c r="H353" s="8">
        <f>C353/G353</f>
        <v>7.25</v>
      </c>
      <c r="I353">
        <v>5000</v>
      </c>
      <c r="J353">
        <v>6.5</v>
      </c>
      <c r="K353">
        <v>18</v>
      </c>
      <c r="L353" t="s">
        <v>17</v>
      </c>
      <c r="M353" t="s">
        <v>18</v>
      </c>
      <c r="N353" t="s">
        <v>31</v>
      </c>
      <c r="O353">
        <v>4</v>
      </c>
      <c r="P353" t="s">
        <v>64</v>
      </c>
      <c r="Q353">
        <v>2025</v>
      </c>
    </row>
    <row r="354" spans="1:17" hidden="1" x14ac:dyDescent="0.3">
      <c r="A354" t="s">
        <v>32</v>
      </c>
      <c r="B354" t="s">
        <v>882</v>
      </c>
      <c r="C354">
        <v>1316</v>
      </c>
      <c r="D354">
        <v>6</v>
      </c>
      <c r="E354"/>
      <c r="F354">
        <v>512</v>
      </c>
      <c r="G354">
        <v>12</v>
      </c>
      <c r="H354"/>
      <c r="I354">
        <v>4000</v>
      </c>
      <c r="J354">
        <v>6.6</v>
      </c>
      <c r="K354">
        <v>44</v>
      </c>
      <c r="L354" t="s">
        <v>17</v>
      </c>
      <c r="M354" t="s">
        <v>34</v>
      </c>
      <c r="N354" t="s">
        <v>31</v>
      </c>
      <c r="O354">
        <v>4</v>
      </c>
      <c r="P354" t="s">
        <v>46</v>
      </c>
      <c r="Q354">
        <v>2025</v>
      </c>
    </row>
    <row r="355" spans="1:17" hidden="1" x14ac:dyDescent="0.3">
      <c r="A355" t="s">
        <v>21</v>
      </c>
      <c r="B355" t="s">
        <v>957</v>
      </c>
      <c r="C355">
        <v>957</v>
      </c>
      <c r="D355">
        <v>6</v>
      </c>
      <c r="E355"/>
      <c r="F355">
        <v>64</v>
      </c>
      <c r="G355">
        <v>200</v>
      </c>
      <c r="H355"/>
      <c r="I355">
        <v>5500</v>
      </c>
      <c r="J355">
        <v>7</v>
      </c>
      <c r="K355">
        <v>33</v>
      </c>
      <c r="L355" t="s">
        <v>38</v>
      </c>
      <c r="M355" t="s">
        <v>18</v>
      </c>
      <c r="N355" t="s">
        <v>31</v>
      </c>
      <c r="O355">
        <v>4</v>
      </c>
      <c r="P355" t="s">
        <v>39</v>
      </c>
      <c r="Q355">
        <v>2025</v>
      </c>
    </row>
    <row r="356" spans="1:17" hidden="1" x14ac:dyDescent="0.3">
      <c r="A356" t="s">
        <v>29</v>
      </c>
      <c r="B356" t="s">
        <v>660</v>
      </c>
      <c r="C356">
        <v>1206</v>
      </c>
      <c r="D356">
        <v>16</v>
      </c>
      <c r="E356" s="8">
        <f>C356/D356</f>
        <v>75.375</v>
      </c>
      <c r="F356">
        <v>64</v>
      </c>
      <c r="G356">
        <v>200</v>
      </c>
      <c r="H356" s="8">
        <f>C356/G356</f>
        <v>6.03</v>
      </c>
      <c r="I356">
        <v>4000</v>
      </c>
      <c r="J356">
        <v>6.6</v>
      </c>
      <c r="K356">
        <v>18</v>
      </c>
      <c r="L356" t="s">
        <v>17</v>
      </c>
      <c r="M356" t="s">
        <v>18</v>
      </c>
      <c r="N356" t="s">
        <v>19</v>
      </c>
      <c r="O356">
        <v>4</v>
      </c>
      <c r="P356" t="s">
        <v>46</v>
      </c>
      <c r="Q356">
        <v>2025</v>
      </c>
    </row>
    <row r="357" spans="1:17" hidden="1" x14ac:dyDescent="0.3">
      <c r="A357" t="s">
        <v>25</v>
      </c>
      <c r="B357" t="s">
        <v>167</v>
      </c>
      <c r="C357">
        <v>776</v>
      </c>
      <c r="D357">
        <v>8</v>
      </c>
      <c r="E357"/>
      <c r="F357">
        <v>1024</v>
      </c>
      <c r="G357">
        <v>48</v>
      </c>
      <c r="H357"/>
      <c r="I357">
        <v>5500</v>
      </c>
      <c r="J357">
        <v>6.5</v>
      </c>
      <c r="K357">
        <v>44</v>
      </c>
      <c r="L357" t="s">
        <v>17</v>
      </c>
      <c r="M357" t="s">
        <v>18</v>
      </c>
      <c r="N357" t="s">
        <v>31</v>
      </c>
      <c r="O357">
        <v>4</v>
      </c>
      <c r="P357" t="s">
        <v>42</v>
      </c>
      <c r="Q357">
        <v>2025</v>
      </c>
    </row>
    <row r="358" spans="1:17" hidden="1" x14ac:dyDescent="0.3">
      <c r="A358" t="s">
        <v>40</v>
      </c>
      <c r="B358" t="s">
        <v>237</v>
      </c>
      <c r="C358">
        <v>773</v>
      </c>
      <c r="D358">
        <v>8</v>
      </c>
      <c r="E358"/>
      <c r="F358">
        <v>64</v>
      </c>
      <c r="G358">
        <v>50</v>
      </c>
      <c r="H358"/>
      <c r="I358">
        <v>6000</v>
      </c>
      <c r="J358">
        <v>7.1</v>
      </c>
      <c r="K358">
        <v>65</v>
      </c>
      <c r="L358" t="s">
        <v>17</v>
      </c>
      <c r="M358" t="s">
        <v>18</v>
      </c>
      <c r="N358" t="s">
        <v>61</v>
      </c>
      <c r="O358">
        <v>4</v>
      </c>
      <c r="P358" t="s">
        <v>56</v>
      </c>
      <c r="Q358">
        <v>2025</v>
      </c>
    </row>
    <row r="359" spans="1:17" hidden="1" x14ac:dyDescent="0.3">
      <c r="A359" t="s">
        <v>32</v>
      </c>
      <c r="B359" t="s">
        <v>246</v>
      </c>
      <c r="C359">
        <v>919</v>
      </c>
      <c r="D359">
        <v>8</v>
      </c>
      <c r="E359"/>
      <c r="F359">
        <v>512</v>
      </c>
      <c r="G359">
        <v>12</v>
      </c>
      <c r="H359"/>
      <c r="I359">
        <v>5500</v>
      </c>
      <c r="J359">
        <v>7</v>
      </c>
      <c r="K359">
        <v>33</v>
      </c>
      <c r="L359" t="s">
        <v>38</v>
      </c>
      <c r="M359" t="s">
        <v>34</v>
      </c>
      <c r="N359" t="s">
        <v>35</v>
      </c>
      <c r="O359">
        <v>4</v>
      </c>
      <c r="P359" t="s">
        <v>54</v>
      </c>
      <c r="Q359">
        <v>2025</v>
      </c>
    </row>
    <row r="360" spans="1:17" hidden="1" x14ac:dyDescent="0.3">
      <c r="A360" t="s">
        <v>49</v>
      </c>
      <c r="B360" t="s">
        <v>430</v>
      </c>
      <c r="C360">
        <v>693</v>
      </c>
      <c r="D360">
        <v>8</v>
      </c>
      <c r="E360"/>
      <c r="F360">
        <v>64</v>
      </c>
      <c r="G360">
        <v>108</v>
      </c>
      <c r="H360"/>
      <c r="I360">
        <v>5000</v>
      </c>
      <c r="J360">
        <v>5.5</v>
      </c>
      <c r="K360">
        <v>33</v>
      </c>
      <c r="L360" t="s">
        <v>38</v>
      </c>
      <c r="M360" t="s">
        <v>18</v>
      </c>
      <c r="N360" t="s">
        <v>61</v>
      </c>
      <c r="O360">
        <v>4</v>
      </c>
      <c r="P360" t="s">
        <v>46</v>
      </c>
      <c r="Q360">
        <v>2025</v>
      </c>
    </row>
    <row r="361" spans="1:17" hidden="1" x14ac:dyDescent="0.3">
      <c r="A361" t="s">
        <v>15</v>
      </c>
      <c r="B361" t="s">
        <v>663</v>
      </c>
      <c r="C361">
        <v>635</v>
      </c>
      <c r="D361">
        <v>8</v>
      </c>
      <c r="E361"/>
      <c r="F361">
        <v>512</v>
      </c>
      <c r="G361">
        <v>200</v>
      </c>
      <c r="H361"/>
      <c r="I361">
        <v>5000</v>
      </c>
      <c r="J361">
        <v>6</v>
      </c>
      <c r="K361">
        <v>65</v>
      </c>
      <c r="L361" t="s">
        <v>38</v>
      </c>
      <c r="M361" t="s">
        <v>18</v>
      </c>
      <c r="N361" t="s">
        <v>61</v>
      </c>
      <c r="O361">
        <v>4</v>
      </c>
      <c r="P361" t="s">
        <v>42</v>
      </c>
      <c r="Q361">
        <v>2025</v>
      </c>
    </row>
    <row r="362" spans="1:17" hidden="1" x14ac:dyDescent="0.3">
      <c r="A362" t="s">
        <v>49</v>
      </c>
      <c r="B362" t="s">
        <v>791</v>
      </c>
      <c r="C362">
        <v>1045</v>
      </c>
      <c r="D362">
        <v>12</v>
      </c>
      <c r="E362" s="8">
        <f>C362/D362</f>
        <v>87.083333333333329</v>
      </c>
      <c r="F362">
        <v>256</v>
      </c>
      <c r="G362">
        <v>48</v>
      </c>
      <c r="H362" s="8">
        <f>C362/G362</f>
        <v>21.770833333333332</v>
      </c>
      <c r="I362">
        <v>4500</v>
      </c>
      <c r="J362">
        <v>5.5</v>
      </c>
      <c r="K362">
        <v>33</v>
      </c>
      <c r="L362" t="s">
        <v>17</v>
      </c>
      <c r="M362" t="s">
        <v>18</v>
      </c>
      <c r="N362" t="s">
        <v>35</v>
      </c>
      <c r="O362">
        <v>4</v>
      </c>
      <c r="P362" t="s">
        <v>24</v>
      </c>
      <c r="Q362">
        <v>2025</v>
      </c>
    </row>
    <row r="363" spans="1:17" hidden="1" x14ac:dyDescent="0.3">
      <c r="A363" t="s">
        <v>15</v>
      </c>
      <c r="B363" t="s">
        <v>988</v>
      </c>
      <c r="C363">
        <v>1131</v>
      </c>
      <c r="D363">
        <v>8</v>
      </c>
      <c r="E363"/>
      <c r="F363">
        <v>1024</v>
      </c>
      <c r="G363">
        <v>200</v>
      </c>
      <c r="H363"/>
      <c r="I363">
        <v>5500</v>
      </c>
      <c r="J363">
        <v>6.6</v>
      </c>
      <c r="K363">
        <v>65</v>
      </c>
      <c r="L363" t="s">
        <v>17</v>
      </c>
      <c r="M363" t="s">
        <v>18</v>
      </c>
      <c r="N363" t="s">
        <v>61</v>
      </c>
      <c r="O363">
        <v>4</v>
      </c>
      <c r="P363" t="s">
        <v>54</v>
      </c>
      <c r="Q363">
        <v>2025</v>
      </c>
    </row>
    <row r="364" spans="1:17" hidden="1" x14ac:dyDescent="0.3">
      <c r="A364" t="s">
        <v>49</v>
      </c>
      <c r="B364" t="s">
        <v>993</v>
      </c>
      <c r="C364">
        <v>656</v>
      </c>
      <c r="D364">
        <v>8</v>
      </c>
      <c r="E364"/>
      <c r="F364">
        <v>64</v>
      </c>
      <c r="G364">
        <v>108</v>
      </c>
      <c r="H364"/>
      <c r="I364">
        <v>5000</v>
      </c>
      <c r="J364">
        <v>5.7</v>
      </c>
      <c r="K364">
        <v>33</v>
      </c>
      <c r="L364" t="s">
        <v>38</v>
      </c>
      <c r="M364" t="s">
        <v>18</v>
      </c>
      <c r="N364" t="s">
        <v>23</v>
      </c>
      <c r="O364">
        <v>4</v>
      </c>
      <c r="P364" t="s">
        <v>20</v>
      </c>
      <c r="Q364">
        <v>2025</v>
      </c>
    </row>
    <row r="365" spans="1:17" hidden="1" x14ac:dyDescent="0.3">
      <c r="A365" t="s">
        <v>66</v>
      </c>
      <c r="B365" t="s">
        <v>1035</v>
      </c>
      <c r="C365">
        <v>961</v>
      </c>
      <c r="D365">
        <v>8</v>
      </c>
      <c r="E365"/>
      <c r="F365">
        <v>256</v>
      </c>
      <c r="G365">
        <v>12</v>
      </c>
      <c r="H365"/>
      <c r="I365">
        <v>4000</v>
      </c>
      <c r="J365">
        <v>5.9</v>
      </c>
      <c r="K365">
        <v>44</v>
      </c>
      <c r="L365" t="s">
        <v>17</v>
      </c>
      <c r="M365" t="s">
        <v>18</v>
      </c>
      <c r="N365" t="s">
        <v>19</v>
      </c>
      <c r="O365">
        <v>4</v>
      </c>
      <c r="P365" t="s">
        <v>44</v>
      </c>
      <c r="Q365">
        <v>2025</v>
      </c>
    </row>
    <row r="366" spans="1:17" hidden="1" x14ac:dyDescent="0.3">
      <c r="A366" t="s">
        <v>40</v>
      </c>
      <c r="B366" t="s">
        <v>343</v>
      </c>
      <c r="C366">
        <v>1019</v>
      </c>
      <c r="D366">
        <v>4</v>
      </c>
      <c r="E366" s="8">
        <f>C366/D366</f>
        <v>254.75</v>
      </c>
      <c r="F366">
        <v>128</v>
      </c>
      <c r="G366">
        <v>200</v>
      </c>
      <c r="H366" s="8">
        <f>C366/G366</f>
        <v>5.0949999999999998</v>
      </c>
      <c r="I366">
        <v>6000</v>
      </c>
      <c r="J366">
        <v>5.8</v>
      </c>
      <c r="K366">
        <v>33</v>
      </c>
      <c r="L366" t="s">
        <v>17</v>
      </c>
      <c r="M366" t="s">
        <v>18</v>
      </c>
      <c r="N366" t="s">
        <v>48</v>
      </c>
      <c r="O366">
        <v>4</v>
      </c>
      <c r="P366" t="s">
        <v>39</v>
      </c>
      <c r="Q366">
        <v>2025</v>
      </c>
    </row>
    <row r="367" spans="1:17" hidden="1" x14ac:dyDescent="0.3">
      <c r="A367" t="s">
        <v>36</v>
      </c>
      <c r="B367" t="s">
        <v>110</v>
      </c>
      <c r="C367">
        <v>848</v>
      </c>
      <c r="D367">
        <v>12</v>
      </c>
      <c r="E367"/>
      <c r="F367">
        <v>1024</v>
      </c>
      <c r="G367">
        <v>200</v>
      </c>
      <c r="H367"/>
      <c r="I367">
        <v>5500</v>
      </c>
      <c r="J367">
        <v>5.8</v>
      </c>
      <c r="K367">
        <v>44</v>
      </c>
      <c r="L367" t="s">
        <v>17</v>
      </c>
      <c r="M367" t="s">
        <v>18</v>
      </c>
      <c r="N367" t="s">
        <v>19</v>
      </c>
      <c r="O367">
        <v>4</v>
      </c>
      <c r="P367" t="s">
        <v>28</v>
      </c>
      <c r="Q367">
        <v>2025</v>
      </c>
    </row>
    <row r="368" spans="1:17" hidden="1" x14ac:dyDescent="0.3">
      <c r="A368" t="s">
        <v>29</v>
      </c>
      <c r="B368" t="s">
        <v>178</v>
      </c>
      <c r="C368">
        <v>314</v>
      </c>
      <c r="D368">
        <v>12</v>
      </c>
      <c r="E368"/>
      <c r="F368">
        <v>1024</v>
      </c>
      <c r="G368">
        <v>108</v>
      </c>
      <c r="H368"/>
      <c r="I368">
        <v>5000</v>
      </c>
      <c r="J368">
        <v>7.1</v>
      </c>
      <c r="K368">
        <v>44</v>
      </c>
      <c r="L368" t="s">
        <v>17</v>
      </c>
      <c r="M368" t="s">
        <v>18</v>
      </c>
      <c r="N368" t="s">
        <v>27</v>
      </c>
      <c r="O368">
        <v>4</v>
      </c>
      <c r="P368" t="s">
        <v>42</v>
      </c>
      <c r="Q368">
        <v>2025</v>
      </c>
    </row>
    <row r="369" spans="1:17" hidden="1" x14ac:dyDescent="0.3">
      <c r="A369" t="s">
        <v>21</v>
      </c>
      <c r="B369" t="s">
        <v>309</v>
      </c>
      <c r="C369">
        <v>738</v>
      </c>
      <c r="D369">
        <v>12</v>
      </c>
      <c r="E369"/>
      <c r="F369">
        <v>128</v>
      </c>
      <c r="G369">
        <v>12</v>
      </c>
      <c r="H369"/>
      <c r="I369">
        <v>4500</v>
      </c>
      <c r="J369">
        <v>6.4</v>
      </c>
      <c r="K369">
        <v>33</v>
      </c>
      <c r="L369" t="s">
        <v>17</v>
      </c>
      <c r="M369" t="s">
        <v>18</v>
      </c>
      <c r="N369" t="s">
        <v>51</v>
      </c>
      <c r="O369">
        <v>4</v>
      </c>
      <c r="P369" t="s">
        <v>56</v>
      </c>
      <c r="Q369">
        <v>2025</v>
      </c>
    </row>
    <row r="370" spans="1:17" x14ac:dyDescent="0.3">
      <c r="A370" t="s">
        <v>66</v>
      </c>
      <c r="B370" t="s">
        <v>1019</v>
      </c>
      <c r="C370">
        <v>202</v>
      </c>
      <c r="D370">
        <v>16</v>
      </c>
      <c r="E370" s="8">
        <f>C370/D370</f>
        <v>12.625</v>
      </c>
      <c r="F370">
        <v>256</v>
      </c>
      <c r="G370">
        <v>64</v>
      </c>
      <c r="H370" s="8">
        <f>C370/G370</f>
        <v>3.15625</v>
      </c>
      <c r="I370">
        <v>5000</v>
      </c>
      <c r="J370">
        <v>6</v>
      </c>
      <c r="K370">
        <v>33</v>
      </c>
      <c r="L370" t="s">
        <v>38</v>
      </c>
      <c r="M370" t="s">
        <v>18</v>
      </c>
      <c r="N370" t="s">
        <v>19</v>
      </c>
      <c r="O370">
        <v>4</v>
      </c>
      <c r="P370" t="s">
        <v>42</v>
      </c>
      <c r="Q370">
        <v>2025</v>
      </c>
    </row>
    <row r="371" spans="1:17" hidden="1" x14ac:dyDescent="0.3">
      <c r="A371" t="s">
        <v>25</v>
      </c>
      <c r="B371" t="s">
        <v>402</v>
      </c>
      <c r="C371">
        <v>1427</v>
      </c>
      <c r="D371">
        <v>12</v>
      </c>
      <c r="E371"/>
      <c r="F371">
        <v>128</v>
      </c>
      <c r="G371">
        <v>50</v>
      </c>
      <c r="H371"/>
      <c r="I371">
        <v>5500</v>
      </c>
      <c r="J371">
        <v>7.1</v>
      </c>
      <c r="K371">
        <v>44</v>
      </c>
      <c r="L371" t="s">
        <v>38</v>
      </c>
      <c r="M371" t="s">
        <v>18</v>
      </c>
      <c r="N371" t="s">
        <v>51</v>
      </c>
      <c r="O371">
        <v>4</v>
      </c>
      <c r="P371" t="s">
        <v>39</v>
      </c>
      <c r="Q371">
        <v>2025</v>
      </c>
    </row>
    <row r="372" spans="1:17" hidden="1" x14ac:dyDescent="0.3">
      <c r="A372" t="s">
        <v>15</v>
      </c>
      <c r="B372" t="s">
        <v>421</v>
      </c>
      <c r="C372">
        <v>1285</v>
      </c>
      <c r="D372">
        <v>12</v>
      </c>
      <c r="E372"/>
      <c r="F372">
        <v>512</v>
      </c>
      <c r="G372">
        <v>50</v>
      </c>
      <c r="H372"/>
      <c r="I372">
        <v>4000</v>
      </c>
      <c r="J372">
        <v>6.3</v>
      </c>
      <c r="K372">
        <v>18</v>
      </c>
      <c r="L372" t="s">
        <v>38</v>
      </c>
      <c r="M372" t="s">
        <v>18</v>
      </c>
      <c r="N372" t="s">
        <v>35</v>
      </c>
      <c r="O372">
        <v>4</v>
      </c>
      <c r="P372" t="s">
        <v>44</v>
      </c>
      <c r="Q372">
        <v>2025</v>
      </c>
    </row>
    <row r="373" spans="1:17" hidden="1" x14ac:dyDescent="0.3">
      <c r="A373" t="s">
        <v>15</v>
      </c>
      <c r="B373" t="s">
        <v>555</v>
      </c>
      <c r="C373">
        <v>1282</v>
      </c>
      <c r="D373">
        <v>12</v>
      </c>
      <c r="E373"/>
      <c r="F373">
        <v>1024</v>
      </c>
      <c r="G373">
        <v>200</v>
      </c>
      <c r="H373"/>
      <c r="I373">
        <v>5000</v>
      </c>
      <c r="J373">
        <v>6.6</v>
      </c>
      <c r="K373">
        <v>120</v>
      </c>
      <c r="L373" t="s">
        <v>38</v>
      </c>
      <c r="M373" t="s">
        <v>18</v>
      </c>
      <c r="N373" t="s">
        <v>51</v>
      </c>
      <c r="O373">
        <v>4</v>
      </c>
      <c r="P373" t="s">
        <v>54</v>
      </c>
      <c r="Q373">
        <v>2025</v>
      </c>
    </row>
    <row r="374" spans="1:17" hidden="1" x14ac:dyDescent="0.3">
      <c r="A374" t="s">
        <v>66</v>
      </c>
      <c r="B374" t="s">
        <v>927</v>
      </c>
      <c r="C374">
        <v>1068</v>
      </c>
      <c r="D374">
        <v>16</v>
      </c>
      <c r="E374" s="8">
        <f>C374/D374</f>
        <v>66.75</v>
      </c>
      <c r="F374">
        <v>64</v>
      </c>
      <c r="G374">
        <v>48</v>
      </c>
      <c r="H374" s="8">
        <f>C374/G374</f>
        <v>22.25</v>
      </c>
      <c r="I374">
        <v>5500</v>
      </c>
      <c r="J374">
        <v>6.5</v>
      </c>
      <c r="K374">
        <v>33</v>
      </c>
      <c r="L374" t="s">
        <v>17</v>
      </c>
      <c r="M374" t="s">
        <v>18</v>
      </c>
      <c r="N374" t="s">
        <v>19</v>
      </c>
      <c r="O374">
        <v>4</v>
      </c>
      <c r="P374" t="s">
        <v>56</v>
      </c>
      <c r="Q374">
        <v>2025</v>
      </c>
    </row>
    <row r="375" spans="1:17" hidden="1" x14ac:dyDescent="0.3">
      <c r="A375" t="s">
        <v>49</v>
      </c>
      <c r="B375" t="s">
        <v>696</v>
      </c>
      <c r="C375">
        <v>482</v>
      </c>
      <c r="D375">
        <v>12</v>
      </c>
      <c r="E375"/>
      <c r="F375">
        <v>128</v>
      </c>
      <c r="G375">
        <v>50</v>
      </c>
      <c r="H375"/>
      <c r="I375">
        <v>4500</v>
      </c>
      <c r="J375">
        <v>6.6</v>
      </c>
      <c r="K375">
        <v>18</v>
      </c>
      <c r="L375" t="s">
        <v>38</v>
      </c>
      <c r="M375" t="s">
        <v>18</v>
      </c>
      <c r="N375" t="s">
        <v>31</v>
      </c>
      <c r="O375">
        <v>4</v>
      </c>
      <c r="P375" t="s">
        <v>44</v>
      </c>
      <c r="Q375">
        <v>2025</v>
      </c>
    </row>
    <row r="376" spans="1:17" hidden="1" x14ac:dyDescent="0.3">
      <c r="A376" t="s">
        <v>25</v>
      </c>
      <c r="B376" t="s">
        <v>857</v>
      </c>
      <c r="C376">
        <v>952</v>
      </c>
      <c r="D376">
        <v>12</v>
      </c>
      <c r="E376"/>
      <c r="F376">
        <v>128</v>
      </c>
      <c r="G376">
        <v>200</v>
      </c>
      <c r="H376"/>
      <c r="I376">
        <v>5500</v>
      </c>
      <c r="J376">
        <v>5.7</v>
      </c>
      <c r="K376">
        <v>44</v>
      </c>
      <c r="L376" t="s">
        <v>38</v>
      </c>
      <c r="M376" t="s">
        <v>18</v>
      </c>
      <c r="N376" t="s">
        <v>27</v>
      </c>
      <c r="O376">
        <v>4</v>
      </c>
      <c r="P376" t="s">
        <v>24</v>
      </c>
      <c r="Q376">
        <v>2025</v>
      </c>
    </row>
    <row r="377" spans="1:17" x14ac:dyDescent="0.3">
      <c r="A377" t="s">
        <v>15</v>
      </c>
      <c r="B377" t="s">
        <v>863</v>
      </c>
      <c r="C377">
        <v>1301</v>
      </c>
      <c r="D377">
        <v>6</v>
      </c>
      <c r="E377" s="8">
        <f t="shared" ref="E377:E380" si="30">C377/D377</f>
        <v>216.83333333333334</v>
      </c>
      <c r="F377">
        <v>128</v>
      </c>
      <c r="G377">
        <v>200</v>
      </c>
      <c r="H377" s="8">
        <f t="shared" ref="H377:H380" si="31">C377/G377</f>
        <v>6.5049999999999999</v>
      </c>
      <c r="I377">
        <v>5500</v>
      </c>
      <c r="J377">
        <v>6.7</v>
      </c>
      <c r="K377">
        <v>44</v>
      </c>
      <c r="L377" t="s">
        <v>38</v>
      </c>
      <c r="M377" t="s">
        <v>18</v>
      </c>
      <c r="N377" t="s">
        <v>48</v>
      </c>
      <c r="O377">
        <v>4</v>
      </c>
      <c r="P377" t="s">
        <v>24</v>
      </c>
      <c r="Q377">
        <v>2025</v>
      </c>
    </row>
    <row r="378" spans="1:17" hidden="1" x14ac:dyDescent="0.3">
      <c r="A378" t="s">
        <v>66</v>
      </c>
      <c r="B378" t="s">
        <v>982</v>
      </c>
      <c r="C378">
        <v>1107</v>
      </c>
      <c r="D378">
        <v>8</v>
      </c>
      <c r="E378" s="8">
        <f t="shared" si="30"/>
        <v>138.375</v>
      </c>
      <c r="F378">
        <v>256</v>
      </c>
      <c r="G378">
        <v>108</v>
      </c>
      <c r="H378" s="8">
        <f t="shared" si="31"/>
        <v>10.25</v>
      </c>
      <c r="I378">
        <v>6000</v>
      </c>
      <c r="J378">
        <v>6</v>
      </c>
      <c r="K378">
        <v>65</v>
      </c>
      <c r="L378" t="s">
        <v>17</v>
      </c>
      <c r="M378" t="s">
        <v>18</v>
      </c>
      <c r="N378" t="s">
        <v>48</v>
      </c>
      <c r="O378">
        <v>4</v>
      </c>
      <c r="P378" t="s">
        <v>44</v>
      </c>
      <c r="Q378">
        <v>2025</v>
      </c>
    </row>
    <row r="379" spans="1:17" hidden="1" x14ac:dyDescent="0.3">
      <c r="A379" t="s">
        <v>21</v>
      </c>
      <c r="B379" t="s">
        <v>977</v>
      </c>
      <c r="C379">
        <v>1003</v>
      </c>
      <c r="D379">
        <v>6</v>
      </c>
      <c r="E379" s="8">
        <f t="shared" si="30"/>
        <v>167.16666666666666</v>
      </c>
      <c r="F379">
        <v>64</v>
      </c>
      <c r="G379">
        <v>12</v>
      </c>
      <c r="H379" s="8">
        <f t="shared" si="31"/>
        <v>83.583333333333329</v>
      </c>
      <c r="I379">
        <v>5500</v>
      </c>
      <c r="J379">
        <v>6.1</v>
      </c>
      <c r="K379">
        <v>65</v>
      </c>
      <c r="L379" t="s">
        <v>17</v>
      </c>
      <c r="M379" t="s">
        <v>18</v>
      </c>
      <c r="N379" t="s">
        <v>19</v>
      </c>
      <c r="O379">
        <v>4</v>
      </c>
      <c r="P379" t="s">
        <v>28</v>
      </c>
      <c r="Q379">
        <v>2025</v>
      </c>
    </row>
    <row r="380" spans="1:17" x14ac:dyDescent="0.3">
      <c r="A380" t="s">
        <v>21</v>
      </c>
      <c r="B380" t="s">
        <v>580</v>
      </c>
      <c r="C380">
        <v>809</v>
      </c>
      <c r="D380">
        <v>12</v>
      </c>
      <c r="E380" s="8">
        <f t="shared" si="30"/>
        <v>67.416666666666671</v>
      </c>
      <c r="F380">
        <v>64</v>
      </c>
      <c r="G380">
        <v>48</v>
      </c>
      <c r="H380" s="8">
        <f t="shared" si="31"/>
        <v>16.854166666666668</v>
      </c>
      <c r="I380">
        <v>4000</v>
      </c>
      <c r="J380">
        <v>6.2</v>
      </c>
      <c r="K380">
        <v>65</v>
      </c>
      <c r="L380" t="s">
        <v>38</v>
      </c>
      <c r="M380" t="s">
        <v>18</v>
      </c>
      <c r="N380" t="s">
        <v>27</v>
      </c>
      <c r="O380">
        <v>4</v>
      </c>
      <c r="P380" t="s">
        <v>46</v>
      </c>
      <c r="Q380">
        <v>2025</v>
      </c>
    </row>
    <row r="381" spans="1:17" hidden="1" x14ac:dyDescent="0.3">
      <c r="A381" t="s">
        <v>21</v>
      </c>
      <c r="B381" t="s">
        <v>194</v>
      </c>
      <c r="C381">
        <v>827</v>
      </c>
      <c r="D381">
        <v>16</v>
      </c>
      <c r="E381"/>
      <c r="F381">
        <v>512</v>
      </c>
      <c r="G381">
        <v>50</v>
      </c>
      <c r="H381"/>
      <c r="I381">
        <v>5500</v>
      </c>
      <c r="J381">
        <v>6.2</v>
      </c>
      <c r="K381">
        <v>100</v>
      </c>
      <c r="L381" t="s">
        <v>38</v>
      </c>
      <c r="M381" t="s">
        <v>18</v>
      </c>
      <c r="N381" t="s">
        <v>23</v>
      </c>
      <c r="O381">
        <v>4</v>
      </c>
      <c r="P381" t="s">
        <v>20</v>
      </c>
      <c r="Q381">
        <v>2025</v>
      </c>
    </row>
    <row r="382" spans="1:17" hidden="1" x14ac:dyDescent="0.3">
      <c r="A382" t="s">
        <v>49</v>
      </c>
      <c r="B382" t="s">
        <v>211</v>
      </c>
      <c r="C382">
        <v>247</v>
      </c>
      <c r="D382">
        <v>16</v>
      </c>
      <c r="E382"/>
      <c r="F382">
        <v>128</v>
      </c>
      <c r="G382">
        <v>50</v>
      </c>
      <c r="H382"/>
      <c r="I382">
        <v>4500</v>
      </c>
      <c r="J382">
        <v>7.1</v>
      </c>
      <c r="K382">
        <v>120</v>
      </c>
      <c r="L382" t="s">
        <v>17</v>
      </c>
      <c r="M382" t="s">
        <v>18</v>
      </c>
      <c r="N382" t="s">
        <v>48</v>
      </c>
      <c r="O382">
        <v>4</v>
      </c>
      <c r="P382" t="s">
        <v>20</v>
      </c>
      <c r="Q382">
        <v>2025</v>
      </c>
    </row>
    <row r="383" spans="1:17" hidden="1" x14ac:dyDescent="0.3">
      <c r="A383" t="s">
        <v>49</v>
      </c>
      <c r="B383" t="s">
        <v>394</v>
      </c>
      <c r="C383">
        <v>638</v>
      </c>
      <c r="D383">
        <v>16</v>
      </c>
      <c r="E383"/>
      <c r="F383">
        <v>256</v>
      </c>
      <c r="G383">
        <v>50</v>
      </c>
      <c r="H383"/>
      <c r="I383">
        <v>6000</v>
      </c>
      <c r="J383">
        <v>6.5</v>
      </c>
      <c r="K383">
        <v>18</v>
      </c>
      <c r="L383" t="s">
        <v>38</v>
      </c>
      <c r="M383" t="s">
        <v>18</v>
      </c>
      <c r="N383" t="s">
        <v>48</v>
      </c>
      <c r="O383">
        <v>4</v>
      </c>
      <c r="P383" t="s">
        <v>42</v>
      </c>
      <c r="Q383">
        <v>2025</v>
      </c>
    </row>
    <row r="384" spans="1:17" hidden="1" x14ac:dyDescent="0.3">
      <c r="A384" t="s">
        <v>15</v>
      </c>
      <c r="B384" t="s">
        <v>401</v>
      </c>
      <c r="C384">
        <v>953</v>
      </c>
      <c r="D384">
        <v>16</v>
      </c>
      <c r="E384"/>
      <c r="F384">
        <v>512</v>
      </c>
      <c r="G384">
        <v>64</v>
      </c>
      <c r="H384"/>
      <c r="I384">
        <v>6000</v>
      </c>
      <c r="J384">
        <v>7.2</v>
      </c>
      <c r="K384">
        <v>33</v>
      </c>
      <c r="L384" t="s">
        <v>38</v>
      </c>
      <c r="M384" t="s">
        <v>18</v>
      </c>
      <c r="N384" t="s">
        <v>61</v>
      </c>
      <c r="O384">
        <v>4</v>
      </c>
      <c r="P384" t="s">
        <v>28</v>
      </c>
      <c r="Q384">
        <v>2025</v>
      </c>
    </row>
    <row r="385" spans="1:17" hidden="1" x14ac:dyDescent="0.3">
      <c r="A385" t="s">
        <v>40</v>
      </c>
      <c r="B385" t="s">
        <v>926</v>
      </c>
      <c r="C385">
        <v>1007</v>
      </c>
      <c r="D385">
        <v>12</v>
      </c>
      <c r="E385" s="8">
        <f>C385/D385</f>
        <v>83.916666666666671</v>
      </c>
      <c r="F385">
        <v>256</v>
      </c>
      <c r="G385">
        <v>12</v>
      </c>
      <c r="H385" s="8">
        <f>C385/G385</f>
        <v>83.916666666666671</v>
      </c>
      <c r="I385">
        <v>4500</v>
      </c>
      <c r="J385">
        <v>6.6</v>
      </c>
      <c r="K385">
        <v>65</v>
      </c>
      <c r="L385" t="s">
        <v>17</v>
      </c>
      <c r="M385" t="s">
        <v>18</v>
      </c>
      <c r="N385" t="s">
        <v>23</v>
      </c>
      <c r="O385">
        <v>4</v>
      </c>
      <c r="P385" t="s">
        <v>71</v>
      </c>
      <c r="Q385">
        <v>2025</v>
      </c>
    </row>
    <row r="386" spans="1:17" hidden="1" x14ac:dyDescent="0.3">
      <c r="A386" t="s">
        <v>25</v>
      </c>
      <c r="B386" t="s">
        <v>556</v>
      </c>
      <c r="C386">
        <v>882</v>
      </c>
      <c r="D386">
        <v>16</v>
      </c>
      <c r="E386"/>
      <c r="F386">
        <v>512</v>
      </c>
      <c r="G386">
        <v>48</v>
      </c>
      <c r="H386"/>
      <c r="I386">
        <v>5500</v>
      </c>
      <c r="J386">
        <v>5.9</v>
      </c>
      <c r="K386">
        <v>65</v>
      </c>
      <c r="L386" t="s">
        <v>17</v>
      </c>
      <c r="M386" t="s">
        <v>18</v>
      </c>
      <c r="N386" t="s">
        <v>27</v>
      </c>
      <c r="O386">
        <v>4</v>
      </c>
      <c r="P386" t="s">
        <v>28</v>
      </c>
      <c r="Q386">
        <v>2025</v>
      </c>
    </row>
    <row r="387" spans="1:17" hidden="1" x14ac:dyDescent="0.3">
      <c r="A387" t="s">
        <v>15</v>
      </c>
      <c r="B387" t="s">
        <v>564</v>
      </c>
      <c r="C387">
        <v>492</v>
      </c>
      <c r="D387">
        <v>16</v>
      </c>
      <c r="E387"/>
      <c r="F387">
        <v>256</v>
      </c>
      <c r="G387">
        <v>200</v>
      </c>
      <c r="H387"/>
      <c r="I387">
        <v>4000</v>
      </c>
      <c r="J387">
        <v>6.3</v>
      </c>
      <c r="K387">
        <v>18</v>
      </c>
      <c r="L387" t="s">
        <v>17</v>
      </c>
      <c r="M387" t="s">
        <v>18</v>
      </c>
      <c r="N387" t="s">
        <v>31</v>
      </c>
      <c r="O387">
        <v>4</v>
      </c>
      <c r="P387" t="s">
        <v>42</v>
      </c>
      <c r="Q387">
        <v>2025</v>
      </c>
    </row>
    <row r="388" spans="1:17" x14ac:dyDescent="0.3">
      <c r="A388" t="s">
        <v>66</v>
      </c>
      <c r="B388" t="s">
        <v>70</v>
      </c>
      <c r="C388">
        <v>1074</v>
      </c>
      <c r="D388">
        <v>16</v>
      </c>
      <c r="E388" s="8">
        <f t="shared" ref="E388:E389" si="32">C388/D388</f>
        <v>67.125</v>
      </c>
      <c r="F388">
        <v>64</v>
      </c>
      <c r="G388">
        <v>12</v>
      </c>
      <c r="H388" s="8">
        <f t="shared" ref="H388:H389" si="33">C388/G388</f>
        <v>89.5</v>
      </c>
      <c r="I388">
        <v>5500</v>
      </c>
      <c r="J388">
        <v>6</v>
      </c>
      <c r="K388">
        <v>100</v>
      </c>
      <c r="L388" t="s">
        <v>38</v>
      </c>
      <c r="M388" t="s">
        <v>18</v>
      </c>
      <c r="N388" t="s">
        <v>31</v>
      </c>
      <c r="O388">
        <v>4</v>
      </c>
      <c r="P388" t="s">
        <v>71</v>
      </c>
      <c r="Q388">
        <v>2025</v>
      </c>
    </row>
    <row r="389" spans="1:17" x14ac:dyDescent="0.3">
      <c r="A389" t="s">
        <v>25</v>
      </c>
      <c r="B389" t="s">
        <v>889</v>
      </c>
      <c r="C389">
        <v>1067</v>
      </c>
      <c r="D389">
        <v>12</v>
      </c>
      <c r="E389" s="8">
        <f t="shared" si="32"/>
        <v>88.916666666666671</v>
      </c>
      <c r="F389">
        <v>512</v>
      </c>
      <c r="G389">
        <v>50</v>
      </c>
      <c r="H389" s="8">
        <f t="shared" si="33"/>
        <v>21.34</v>
      </c>
      <c r="I389">
        <v>5000</v>
      </c>
      <c r="J389">
        <v>7</v>
      </c>
      <c r="K389">
        <v>100</v>
      </c>
      <c r="L389" t="s">
        <v>38</v>
      </c>
      <c r="M389" t="s">
        <v>18</v>
      </c>
      <c r="N389" t="s">
        <v>61</v>
      </c>
      <c r="O389">
        <v>4</v>
      </c>
      <c r="P389" t="s">
        <v>71</v>
      </c>
      <c r="Q389">
        <v>2025</v>
      </c>
    </row>
    <row r="390" spans="1:17" hidden="1" x14ac:dyDescent="0.3">
      <c r="A390" t="s">
        <v>49</v>
      </c>
      <c r="B390" t="s">
        <v>851</v>
      </c>
      <c r="C390">
        <v>356</v>
      </c>
      <c r="D390">
        <v>16</v>
      </c>
      <c r="E390"/>
      <c r="F390">
        <v>1024</v>
      </c>
      <c r="G390">
        <v>48</v>
      </c>
      <c r="H390"/>
      <c r="I390">
        <v>5000</v>
      </c>
      <c r="J390">
        <v>6.4</v>
      </c>
      <c r="K390">
        <v>100</v>
      </c>
      <c r="L390" t="s">
        <v>17</v>
      </c>
      <c r="M390" t="s">
        <v>18</v>
      </c>
      <c r="N390" t="s">
        <v>31</v>
      </c>
      <c r="O390">
        <v>4</v>
      </c>
      <c r="P390" t="s">
        <v>56</v>
      </c>
      <c r="Q390">
        <v>2025</v>
      </c>
    </row>
    <row r="391" spans="1:17" x14ac:dyDescent="0.3">
      <c r="A391" t="s">
        <v>49</v>
      </c>
      <c r="B391" t="s">
        <v>435</v>
      </c>
      <c r="C391">
        <v>540</v>
      </c>
      <c r="D391">
        <v>4</v>
      </c>
      <c r="E391" s="8">
        <f>C391/D391</f>
        <v>135</v>
      </c>
      <c r="F391">
        <v>128</v>
      </c>
      <c r="G391">
        <v>108</v>
      </c>
      <c r="H391" s="8">
        <f>C391/G391</f>
        <v>5</v>
      </c>
      <c r="I391">
        <v>5500</v>
      </c>
      <c r="J391">
        <v>5.7</v>
      </c>
      <c r="K391">
        <v>120</v>
      </c>
      <c r="L391" t="s">
        <v>38</v>
      </c>
      <c r="M391" t="s">
        <v>18</v>
      </c>
      <c r="N391" t="s">
        <v>35</v>
      </c>
      <c r="O391">
        <v>4</v>
      </c>
      <c r="P391" t="s">
        <v>20</v>
      </c>
      <c r="Q391">
        <v>2025</v>
      </c>
    </row>
    <row r="392" spans="1:17" hidden="1" x14ac:dyDescent="0.3">
      <c r="A392" t="s">
        <v>15</v>
      </c>
      <c r="B392" t="s">
        <v>908</v>
      </c>
      <c r="C392">
        <v>718</v>
      </c>
      <c r="D392">
        <v>16</v>
      </c>
      <c r="E392"/>
      <c r="F392">
        <v>64</v>
      </c>
      <c r="G392">
        <v>64</v>
      </c>
      <c r="H392"/>
      <c r="I392">
        <v>6000</v>
      </c>
      <c r="J392">
        <v>5.6</v>
      </c>
      <c r="K392">
        <v>44</v>
      </c>
      <c r="L392" t="s">
        <v>17</v>
      </c>
      <c r="M392" t="s">
        <v>18</v>
      </c>
      <c r="N392" t="s">
        <v>35</v>
      </c>
      <c r="O392">
        <v>4</v>
      </c>
      <c r="P392" t="s">
        <v>54</v>
      </c>
      <c r="Q392">
        <v>2025</v>
      </c>
    </row>
    <row r="393" spans="1:17" hidden="1" x14ac:dyDescent="0.3">
      <c r="A393" t="s">
        <v>15</v>
      </c>
      <c r="B393" t="s">
        <v>427</v>
      </c>
      <c r="C393">
        <v>760</v>
      </c>
      <c r="D393">
        <v>16</v>
      </c>
      <c r="E393" s="8">
        <f>C393/D393</f>
        <v>47.5</v>
      </c>
      <c r="F393">
        <v>128</v>
      </c>
      <c r="G393">
        <v>12</v>
      </c>
      <c r="H393" s="8">
        <f>C393/G393</f>
        <v>63.333333333333336</v>
      </c>
      <c r="I393">
        <v>6000</v>
      </c>
      <c r="J393">
        <v>6.5</v>
      </c>
      <c r="K393">
        <v>120</v>
      </c>
      <c r="L393" t="s">
        <v>17</v>
      </c>
      <c r="M393" t="s">
        <v>18</v>
      </c>
      <c r="N393" t="s">
        <v>27</v>
      </c>
      <c r="O393">
        <v>4</v>
      </c>
      <c r="P393" t="s">
        <v>82</v>
      </c>
      <c r="Q393">
        <v>2025</v>
      </c>
    </row>
    <row r="394" spans="1:17" hidden="1" x14ac:dyDescent="0.3">
      <c r="A394" t="s">
        <v>21</v>
      </c>
      <c r="B394" t="s">
        <v>956</v>
      </c>
      <c r="C394">
        <v>951</v>
      </c>
      <c r="D394">
        <v>16</v>
      </c>
      <c r="E394"/>
      <c r="F394">
        <v>256</v>
      </c>
      <c r="G394">
        <v>200</v>
      </c>
      <c r="H394"/>
      <c r="I394">
        <v>5000</v>
      </c>
      <c r="J394">
        <v>6.1</v>
      </c>
      <c r="K394">
        <v>33</v>
      </c>
      <c r="L394" t="s">
        <v>38</v>
      </c>
      <c r="M394" t="s">
        <v>18</v>
      </c>
      <c r="N394" t="s">
        <v>48</v>
      </c>
      <c r="O394">
        <v>4</v>
      </c>
      <c r="P394" t="s">
        <v>20</v>
      </c>
      <c r="Q394">
        <v>2025</v>
      </c>
    </row>
    <row r="395" spans="1:17" hidden="1" x14ac:dyDescent="0.3">
      <c r="A395" t="s">
        <v>66</v>
      </c>
      <c r="B395" t="s">
        <v>861</v>
      </c>
      <c r="C395">
        <v>1100</v>
      </c>
      <c r="D395">
        <v>16</v>
      </c>
      <c r="E395" s="8">
        <f>C395/D395</f>
        <v>68.75</v>
      </c>
      <c r="F395">
        <v>128</v>
      </c>
      <c r="G395">
        <v>50</v>
      </c>
      <c r="H395" s="8">
        <f>C395/G395</f>
        <v>22</v>
      </c>
      <c r="I395">
        <v>5000</v>
      </c>
      <c r="J395">
        <v>7.1</v>
      </c>
      <c r="K395">
        <v>120</v>
      </c>
      <c r="L395" t="s">
        <v>17</v>
      </c>
      <c r="M395" t="s">
        <v>18</v>
      </c>
      <c r="N395" t="s">
        <v>35</v>
      </c>
      <c r="O395">
        <v>4</v>
      </c>
      <c r="P395" t="s">
        <v>28</v>
      </c>
      <c r="Q395">
        <v>2025</v>
      </c>
    </row>
    <row r="396" spans="1:17" hidden="1" x14ac:dyDescent="0.3">
      <c r="A396" t="s">
        <v>40</v>
      </c>
      <c r="B396" t="s">
        <v>73</v>
      </c>
      <c r="C396">
        <v>882</v>
      </c>
      <c r="D396">
        <v>4</v>
      </c>
      <c r="E396"/>
      <c r="F396">
        <v>128</v>
      </c>
      <c r="G396">
        <v>200</v>
      </c>
      <c r="H396"/>
      <c r="I396">
        <v>4000</v>
      </c>
      <c r="J396">
        <v>6.6</v>
      </c>
      <c r="K396">
        <v>44</v>
      </c>
      <c r="L396" t="s">
        <v>17</v>
      </c>
      <c r="M396" t="s">
        <v>18</v>
      </c>
      <c r="N396" t="s">
        <v>31</v>
      </c>
      <c r="O396">
        <v>4.0999999999999996</v>
      </c>
      <c r="P396" t="s">
        <v>42</v>
      </c>
      <c r="Q396">
        <v>2025</v>
      </c>
    </row>
    <row r="397" spans="1:17" hidden="1" x14ac:dyDescent="0.3">
      <c r="A397" t="s">
        <v>25</v>
      </c>
      <c r="B397" t="s">
        <v>513</v>
      </c>
      <c r="C397">
        <v>1021</v>
      </c>
      <c r="D397">
        <v>4</v>
      </c>
      <c r="E397" s="8">
        <f>C397/D397</f>
        <v>255.25</v>
      </c>
      <c r="F397">
        <v>128</v>
      </c>
      <c r="G397">
        <v>108</v>
      </c>
      <c r="H397" s="8">
        <f>C397/G397</f>
        <v>9.4537037037037042</v>
      </c>
      <c r="I397">
        <v>5000</v>
      </c>
      <c r="J397">
        <v>6.6</v>
      </c>
      <c r="K397">
        <v>18</v>
      </c>
      <c r="L397" t="s">
        <v>17</v>
      </c>
      <c r="M397" t="s">
        <v>18</v>
      </c>
      <c r="N397" t="s">
        <v>31</v>
      </c>
      <c r="O397">
        <v>4.0999999999999996</v>
      </c>
      <c r="P397" t="s">
        <v>42</v>
      </c>
      <c r="Q397">
        <v>2025</v>
      </c>
    </row>
    <row r="398" spans="1:17" hidden="1" x14ac:dyDescent="0.3">
      <c r="A398" t="s">
        <v>49</v>
      </c>
      <c r="B398" t="s">
        <v>364</v>
      </c>
      <c r="C398">
        <v>142</v>
      </c>
      <c r="D398">
        <v>4</v>
      </c>
      <c r="E398"/>
      <c r="F398">
        <v>512</v>
      </c>
      <c r="G398">
        <v>200</v>
      </c>
      <c r="H398"/>
      <c r="I398">
        <v>4500</v>
      </c>
      <c r="J398">
        <v>6</v>
      </c>
      <c r="K398">
        <v>18</v>
      </c>
      <c r="L398" t="s">
        <v>17</v>
      </c>
      <c r="M398" t="s">
        <v>18</v>
      </c>
      <c r="N398" t="s">
        <v>51</v>
      </c>
      <c r="O398">
        <v>4.0999999999999996</v>
      </c>
      <c r="P398" t="s">
        <v>54</v>
      </c>
      <c r="Q398">
        <v>2025</v>
      </c>
    </row>
    <row r="399" spans="1:17" hidden="1" x14ac:dyDescent="0.3">
      <c r="A399" t="s">
        <v>21</v>
      </c>
      <c r="B399" t="s">
        <v>1034</v>
      </c>
      <c r="C399">
        <v>110</v>
      </c>
      <c r="D399">
        <v>6</v>
      </c>
      <c r="E399" s="8">
        <f t="shared" ref="E399:E400" si="34">C399/D399</f>
        <v>18.333333333333332</v>
      </c>
      <c r="F399">
        <v>512</v>
      </c>
      <c r="G399">
        <v>50</v>
      </c>
      <c r="H399" s="8">
        <f t="shared" ref="H399:H400" si="35">C399/G399</f>
        <v>2.2000000000000002</v>
      </c>
      <c r="I399">
        <v>5500</v>
      </c>
      <c r="J399">
        <v>5.7</v>
      </c>
      <c r="K399">
        <v>33</v>
      </c>
      <c r="L399" t="s">
        <v>17</v>
      </c>
      <c r="M399" t="s">
        <v>18</v>
      </c>
      <c r="N399" t="s">
        <v>51</v>
      </c>
      <c r="O399">
        <v>4.0999999999999996</v>
      </c>
      <c r="P399" t="s">
        <v>24</v>
      </c>
      <c r="Q399">
        <v>2025</v>
      </c>
    </row>
    <row r="400" spans="1:17" hidden="1" x14ac:dyDescent="0.3">
      <c r="A400" t="s">
        <v>40</v>
      </c>
      <c r="B400" t="s">
        <v>641</v>
      </c>
      <c r="C400">
        <v>1088</v>
      </c>
      <c r="D400">
        <v>16</v>
      </c>
      <c r="E400" s="8">
        <f t="shared" si="34"/>
        <v>68</v>
      </c>
      <c r="F400">
        <v>64</v>
      </c>
      <c r="G400">
        <v>12</v>
      </c>
      <c r="H400" s="8">
        <f t="shared" si="35"/>
        <v>90.666666666666671</v>
      </c>
      <c r="I400">
        <v>6000</v>
      </c>
      <c r="J400">
        <v>6.5</v>
      </c>
      <c r="K400">
        <v>33</v>
      </c>
      <c r="L400" t="s">
        <v>17</v>
      </c>
      <c r="M400" t="s">
        <v>18</v>
      </c>
      <c r="N400" t="s">
        <v>31</v>
      </c>
      <c r="O400">
        <v>4.0999999999999996</v>
      </c>
      <c r="P400" t="s">
        <v>20</v>
      </c>
      <c r="Q400">
        <v>2025</v>
      </c>
    </row>
    <row r="401" spans="1:17" hidden="1" x14ac:dyDescent="0.3">
      <c r="A401" t="s">
        <v>15</v>
      </c>
      <c r="B401" t="s">
        <v>522</v>
      </c>
      <c r="C401">
        <v>1185</v>
      </c>
      <c r="D401">
        <v>4</v>
      </c>
      <c r="E401"/>
      <c r="F401">
        <v>512</v>
      </c>
      <c r="G401">
        <v>48</v>
      </c>
      <c r="H401"/>
      <c r="I401">
        <v>5500</v>
      </c>
      <c r="J401">
        <v>7.1</v>
      </c>
      <c r="K401">
        <v>18</v>
      </c>
      <c r="L401" t="s">
        <v>17</v>
      </c>
      <c r="M401" t="s">
        <v>18</v>
      </c>
      <c r="N401" t="s">
        <v>31</v>
      </c>
      <c r="O401">
        <v>4.0999999999999996</v>
      </c>
      <c r="P401" t="s">
        <v>24</v>
      </c>
      <c r="Q401">
        <v>2025</v>
      </c>
    </row>
    <row r="402" spans="1:17" hidden="1" x14ac:dyDescent="0.3">
      <c r="A402" t="s">
        <v>40</v>
      </c>
      <c r="B402" t="s">
        <v>557</v>
      </c>
      <c r="C402">
        <v>814</v>
      </c>
      <c r="D402">
        <v>4</v>
      </c>
      <c r="E402"/>
      <c r="F402">
        <v>512</v>
      </c>
      <c r="G402">
        <v>108</v>
      </c>
      <c r="H402"/>
      <c r="I402">
        <v>5000</v>
      </c>
      <c r="J402">
        <v>7.2</v>
      </c>
      <c r="K402">
        <v>44</v>
      </c>
      <c r="L402" t="s">
        <v>38</v>
      </c>
      <c r="M402" t="s">
        <v>18</v>
      </c>
      <c r="N402" t="s">
        <v>31</v>
      </c>
      <c r="O402">
        <v>4.0999999999999996</v>
      </c>
      <c r="P402" t="s">
        <v>54</v>
      </c>
      <c r="Q402">
        <v>2025</v>
      </c>
    </row>
    <row r="403" spans="1:17" hidden="1" x14ac:dyDescent="0.3">
      <c r="A403" t="s">
        <v>21</v>
      </c>
      <c r="B403" t="s">
        <v>629</v>
      </c>
      <c r="C403">
        <v>631</v>
      </c>
      <c r="D403">
        <v>4</v>
      </c>
      <c r="E403"/>
      <c r="F403">
        <v>128</v>
      </c>
      <c r="G403">
        <v>48</v>
      </c>
      <c r="H403"/>
      <c r="I403">
        <v>5500</v>
      </c>
      <c r="J403">
        <v>6</v>
      </c>
      <c r="K403">
        <v>65</v>
      </c>
      <c r="L403" t="s">
        <v>17</v>
      </c>
      <c r="M403" t="s">
        <v>18</v>
      </c>
      <c r="N403" t="s">
        <v>48</v>
      </c>
      <c r="O403">
        <v>4.0999999999999996</v>
      </c>
      <c r="P403" t="s">
        <v>28</v>
      </c>
      <c r="Q403">
        <v>2025</v>
      </c>
    </row>
    <row r="404" spans="1:17" hidden="1" x14ac:dyDescent="0.3">
      <c r="A404" t="s">
        <v>49</v>
      </c>
      <c r="B404" t="s">
        <v>777</v>
      </c>
      <c r="C404">
        <v>311</v>
      </c>
      <c r="D404">
        <v>4</v>
      </c>
      <c r="E404"/>
      <c r="F404">
        <v>512</v>
      </c>
      <c r="G404">
        <v>108</v>
      </c>
      <c r="H404"/>
      <c r="I404">
        <v>5500</v>
      </c>
      <c r="J404">
        <v>6.6</v>
      </c>
      <c r="K404">
        <v>120</v>
      </c>
      <c r="L404" t="s">
        <v>38</v>
      </c>
      <c r="M404" t="s">
        <v>18</v>
      </c>
      <c r="N404" t="s">
        <v>23</v>
      </c>
      <c r="O404">
        <v>4.0999999999999996</v>
      </c>
      <c r="P404" t="s">
        <v>54</v>
      </c>
      <c r="Q404">
        <v>2025</v>
      </c>
    </row>
    <row r="405" spans="1:17" hidden="1" x14ac:dyDescent="0.3">
      <c r="A405" t="s">
        <v>32</v>
      </c>
      <c r="B405" t="s">
        <v>659</v>
      </c>
      <c r="C405">
        <v>633</v>
      </c>
      <c r="D405">
        <v>4</v>
      </c>
      <c r="E405"/>
      <c r="F405">
        <v>128</v>
      </c>
      <c r="G405">
        <v>12</v>
      </c>
      <c r="H405"/>
      <c r="I405">
        <v>4500</v>
      </c>
      <c r="J405">
        <v>6.9</v>
      </c>
      <c r="K405">
        <v>120</v>
      </c>
      <c r="L405" t="s">
        <v>17</v>
      </c>
      <c r="M405" t="s">
        <v>34</v>
      </c>
      <c r="N405" t="s">
        <v>48</v>
      </c>
      <c r="O405">
        <v>4.0999999999999996</v>
      </c>
      <c r="P405" t="s">
        <v>46</v>
      </c>
      <c r="Q405">
        <v>2025</v>
      </c>
    </row>
    <row r="406" spans="1:17" hidden="1" x14ac:dyDescent="0.3">
      <c r="A406" t="s">
        <v>29</v>
      </c>
      <c r="B406" t="s">
        <v>30</v>
      </c>
      <c r="C406">
        <v>837</v>
      </c>
      <c r="D406">
        <v>6</v>
      </c>
      <c r="E406"/>
      <c r="F406">
        <v>512</v>
      </c>
      <c r="G406">
        <v>48</v>
      </c>
      <c r="H406"/>
      <c r="I406">
        <v>4500</v>
      </c>
      <c r="J406">
        <v>6</v>
      </c>
      <c r="K406">
        <v>65</v>
      </c>
      <c r="L406" t="s">
        <v>17</v>
      </c>
      <c r="M406" t="s">
        <v>18</v>
      </c>
      <c r="N406" t="s">
        <v>31</v>
      </c>
      <c r="O406">
        <v>4.0999999999999996</v>
      </c>
      <c r="P406" t="s">
        <v>24</v>
      </c>
      <c r="Q406">
        <v>2025</v>
      </c>
    </row>
    <row r="407" spans="1:17" x14ac:dyDescent="0.3">
      <c r="A407" t="s">
        <v>25</v>
      </c>
      <c r="B407" t="s">
        <v>644</v>
      </c>
      <c r="C407">
        <v>1062</v>
      </c>
      <c r="D407">
        <v>12</v>
      </c>
      <c r="E407" s="8">
        <f t="shared" ref="E407:E408" si="36">C407/D407</f>
        <v>88.5</v>
      </c>
      <c r="F407">
        <v>256</v>
      </c>
      <c r="G407">
        <v>12</v>
      </c>
      <c r="H407" s="8">
        <f t="shared" ref="H407:H408" si="37">C407/G407</f>
        <v>88.5</v>
      </c>
      <c r="I407">
        <v>5000</v>
      </c>
      <c r="J407">
        <v>6.6</v>
      </c>
      <c r="K407">
        <v>33</v>
      </c>
      <c r="L407" t="s">
        <v>38</v>
      </c>
      <c r="M407" t="s">
        <v>18</v>
      </c>
      <c r="N407" t="s">
        <v>27</v>
      </c>
      <c r="O407">
        <v>4.0999999999999996</v>
      </c>
      <c r="P407" t="s">
        <v>20</v>
      </c>
      <c r="Q407">
        <v>2025</v>
      </c>
    </row>
    <row r="408" spans="1:17" x14ac:dyDescent="0.3">
      <c r="A408" t="s">
        <v>36</v>
      </c>
      <c r="B408" t="s">
        <v>124</v>
      </c>
      <c r="C408">
        <v>1053</v>
      </c>
      <c r="D408">
        <v>16</v>
      </c>
      <c r="E408" s="8">
        <f t="shared" si="36"/>
        <v>65.8125</v>
      </c>
      <c r="F408">
        <v>512</v>
      </c>
      <c r="G408">
        <v>12</v>
      </c>
      <c r="H408" s="8">
        <f t="shared" si="37"/>
        <v>87.75</v>
      </c>
      <c r="I408">
        <v>5500</v>
      </c>
      <c r="J408">
        <v>6.9</v>
      </c>
      <c r="K408">
        <v>33</v>
      </c>
      <c r="L408" t="s">
        <v>38</v>
      </c>
      <c r="M408" t="s">
        <v>18</v>
      </c>
      <c r="N408" t="s">
        <v>51</v>
      </c>
      <c r="O408">
        <v>4.0999999999999996</v>
      </c>
      <c r="P408" t="s">
        <v>64</v>
      </c>
      <c r="Q408">
        <v>2025</v>
      </c>
    </row>
    <row r="409" spans="1:17" hidden="1" x14ac:dyDescent="0.3">
      <c r="A409" t="s">
        <v>32</v>
      </c>
      <c r="B409" t="s">
        <v>235</v>
      </c>
      <c r="C409">
        <v>727</v>
      </c>
      <c r="D409">
        <v>6</v>
      </c>
      <c r="E409"/>
      <c r="F409">
        <v>64</v>
      </c>
      <c r="G409">
        <v>50</v>
      </c>
      <c r="H409"/>
      <c r="I409">
        <v>4500</v>
      </c>
      <c r="J409">
        <v>7.2</v>
      </c>
      <c r="K409">
        <v>100</v>
      </c>
      <c r="L409" t="s">
        <v>38</v>
      </c>
      <c r="M409" t="s">
        <v>34</v>
      </c>
      <c r="N409" t="s">
        <v>51</v>
      </c>
      <c r="O409">
        <v>4.0999999999999996</v>
      </c>
      <c r="P409" t="s">
        <v>46</v>
      </c>
      <c r="Q409">
        <v>2025</v>
      </c>
    </row>
    <row r="410" spans="1:17" hidden="1" x14ac:dyDescent="0.3">
      <c r="A410" t="s">
        <v>49</v>
      </c>
      <c r="B410" t="s">
        <v>290</v>
      </c>
      <c r="C410">
        <v>462</v>
      </c>
      <c r="D410">
        <v>6</v>
      </c>
      <c r="E410"/>
      <c r="F410">
        <v>64</v>
      </c>
      <c r="G410">
        <v>64</v>
      </c>
      <c r="H410"/>
      <c r="I410">
        <v>4500</v>
      </c>
      <c r="J410">
        <v>5.5</v>
      </c>
      <c r="K410">
        <v>18</v>
      </c>
      <c r="L410" t="s">
        <v>38</v>
      </c>
      <c r="M410" t="s">
        <v>18</v>
      </c>
      <c r="N410" t="s">
        <v>51</v>
      </c>
      <c r="O410">
        <v>4.0999999999999996</v>
      </c>
      <c r="P410" t="s">
        <v>64</v>
      </c>
      <c r="Q410">
        <v>2025</v>
      </c>
    </row>
    <row r="411" spans="1:17" x14ac:dyDescent="0.3">
      <c r="A411" t="s">
        <v>66</v>
      </c>
      <c r="B411" t="s">
        <v>398</v>
      </c>
      <c r="C411">
        <v>1103</v>
      </c>
      <c r="D411">
        <v>4</v>
      </c>
      <c r="E411" s="8">
        <f>C411/D411</f>
        <v>275.75</v>
      </c>
      <c r="F411">
        <v>64</v>
      </c>
      <c r="G411">
        <v>108</v>
      </c>
      <c r="H411" s="8">
        <f>C411/G411</f>
        <v>10.212962962962964</v>
      </c>
      <c r="I411">
        <v>6000</v>
      </c>
      <c r="J411">
        <v>5.7</v>
      </c>
      <c r="K411">
        <v>44</v>
      </c>
      <c r="L411" t="s">
        <v>38</v>
      </c>
      <c r="M411" t="s">
        <v>18</v>
      </c>
      <c r="N411" t="s">
        <v>23</v>
      </c>
      <c r="O411">
        <v>4.0999999999999996</v>
      </c>
      <c r="P411" t="s">
        <v>71</v>
      </c>
      <c r="Q411">
        <v>2025</v>
      </c>
    </row>
    <row r="412" spans="1:17" hidden="1" x14ac:dyDescent="0.3">
      <c r="A412" t="s">
        <v>15</v>
      </c>
      <c r="B412" t="s">
        <v>457</v>
      </c>
      <c r="C412">
        <v>785</v>
      </c>
      <c r="D412">
        <v>6</v>
      </c>
      <c r="E412"/>
      <c r="F412">
        <v>64</v>
      </c>
      <c r="G412">
        <v>50</v>
      </c>
      <c r="H412"/>
      <c r="I412">
        <v>5000</v>
      </c>
      <c r="J412">
        <v>6.7</v>
      </c>
      <c r="K412">
        <v>18</v>
      </c>
      <c r="L412" t="s">
        <v>38</v>
      </c>
      <c r="M412" t="s">
        <v>18</v>
      </c>
      <c r="N412" t="s">
        <v>23</v>
      </c>
      <c r="O412">
        <v>4.0999999999999996</v>
      </c>
      <c r="P412" t="s">
        <v>64</v>
      </c>
      <c r="Q412">
        <v>2025</v>
      </c>
    </row>
    <row r="413" spans="1:17" x14ac:dyDescent="0.3">
      <c r="A413" t="s">
        <v>66</v>
      </c>
      <c r="B413" t="s">
        <v>434</v>
      </c>
      <c r="C413">
        <v>1340</v>
      </c>
      <c r="D413">
        <v>6</v>
      </c>
      <c r="E413" s="8">
        <f>C413/D413</f>
        <v>223.33333333333334</v>
      </c>
      <c r="F413">
        <v>64</v>
      </c>
      <c r="G413">
        <v>200</v>
      </c>
      <c r="H413" s="8">
        <f>C413/G413</f>
        <v>6.7</v>
      </c>
      <c r="I413">
        <v>4500</v>
      </c>
      <c r="J413">
        <v>6</v>
      </c>
      <c r="K413">
        <v>44</v>
      </c>
      <c r="L413" t="s">
        <v>38</v>
      </c>
      <c r="M413" t="s">
        <v>18</v>
      </c>
      <c r="N413" t="s">
        <v>35</v>
      </c>
      <c r="O413">
        <v>4.0999999999999996</v>
      </c>
      <c r="P413" t="s">
        <v>54</v>
      </c>
      <c r="Q413">
        <v>2025</v>
      </c>
    </row>
    <row r="414" spans="1:17" hidden="1" x14ac:dyDescent="0.3">
      <c r="A414" t="s">
        <v>15</v>
      </c>
      <c r="B414" t="s">
        <v>515</v>
      </c>
      <c r="C414">
        <v>1286</v>
      </c>
      <c r="D414">
        <v>6</v>
      </c>
      <c r="E414"/>
      <c r="F414">
        <v>1024</v>
      </c>
      <c r="G414">
        <v>12</v>
      </c>
      <c r="H414"/>
      <c r="I414">
        <v>5500</v>
      </c>
      <c r="J414">
        <v>5.8</v>
      </c>
      <c r="K414">
        <v>120</v>
      </c>
      <c r="L414" t="s">
        <v>17</v>
      </c>
      <c r="M414" t="s">
        <v>18</v>
      </c>
      <c r="N414" t="s">
        <v>31</v>
      </c>
      <c r="O414">
        <v>4.0999999999999996</v>
      </c>
      <c r="P414" t="s">
        <v>20</v>
      </c>
      <c r="Q414">
        <v>2025</v>
      </c>
    </row>
    <row r="415" spans="1:17" hidden="1" x14ac:dyDescent="0.3">
      <c r="A415" t="s">
        <v>32</v>
      </c>
      <c r="B415" t="s">
        <v>529</v>
      </c>
      <c r="C415">
        <v>1284</v>
      </c>
      <c r="D415">
        <v>6</v>
      </c>
      <c r="E415"/>
      <c r="F415">
        <v>64</v>
      </c>
      <c r="G415">
        <v>50</v>
      </c>
      <c r="H415"/>
      <c r="I415">
        <v>4000</v>
      </c>
      <c r="J415">
        <v>5.9</v>
      </c>
      <c r="K415">
        <v>100</v>
      </c>
      <c r="L415" t="s">
        <v>38</v>
      </c>
      <c r="M415" t="s">
        <v>34</v>
      </c>
      <c r="N415" t="s">
        <v>48</v>
      </c>
      <c r="O415">
        <v>4.0999999999999996</v>
      </c>
      <c r="P415" t="s">
        <v>44</v>
      </c>
      <c r="Q415">
        <v>2025</v>
      </c>
    </row>
    <row r="416" spans="1:17" hidden="1" x14ac:dyDescent="0.3">
      <c r="A416" t="s">
        <v>25</v>
      </c>
      <c r="B416" t="s">
        <v>594</v>
      </c>
      <c r="C416">
        <v>1255</v>
      </c>
      <c r="D416">
        <v>6</v>
      </c>
      <c r="E416"/>
      <c r="F416">
        <v>64</v>
      </c>
      <c r="G416">
        <v>200</v>
      </c>
      <c r="H416"/>
      <c r="I416">
        <v>5000</v>
      </c>
      <c r="J416">
        <v>6.6</v>
      </c>
      <c r="K416">
        <v>100</v>
      </c>
      <c r="L416" t="s">
        <v>17</v>
      </c>
      <c r="M416" t="s">
        <v>18</v>
      </c>
      <c r="N416" t="s">
        <v>51</v>
      </c>
      <c r="O416">
        <v>4.0999999999999996</v>
      </c>
      <c r="P416" t="s">
        <v>82</v>
      </c>
      <c r="Q416">
        <v>2025</v>
      </c>
    </row>
    <row r="417" spans="1:17" hidden="1" x14ac:dyDescent="0.3">
      <c r="A417" t="s">
        <v>49</v>
      </c>
      <c r="B417" t="s">
        <v>833</v>
      </c>
      <c r="C417">
        <v>443</v>
      </c>
      <c r="D417">
        <v>6</v>
      </c>
      <c r="E417"/>
      <c r="F417">
        <v>512</v>
      </c>
      <c r="G417">
        <v>48</v>
      </c>
      <c r="H417"/>
      <c r="I417">
        <v>5500</v>
      </c>
      <c r="J417">
        <v>6.3</v>
      </c>
      <c r="K417">
        <v>18</v>
      </c>
      <c r="L417" t="s">
        <v>17</v>
      </c>
      <c r="M417" t="s">
        <v>18</v>
      </c>
      <c r="N417" t="s">
        <v>35</v>
      </c>
      <c r="O417">
        <v>4.0999999999999996</v>
      </c>
      <c r="P417" t="s">
        <v>20</v>
      </c>
      <c r="Q417">
        <v>2025</v>
      </c>
    </row>
    <row r="418" spans="1:17" hidden="1" x14ac:dyDescent="0.3">
      <c r="A418" t="s">
        <v>36</v>
      </c>
      <c r="B418" t="s">
        <v>855</v>
      </c>
      <c r="C418">
        <v>721</v>
      </c>
      <c r="D418">
        <v>6</v>
      </c>
      <c r="E418"/>
      <c r="F418">
        <v>256</v>
      </c>
      <c r="G418">
        <v>12</v>
      </c>
      <c r="H418"/>
      <c r="I418">
        <v>4000</v>
      </c>
      <c r="J418">
        <v>6.8</v>
      </c>
      <c r="K418">
        <v>120</v>
      </c>
      <c r="L418" t="s">
        <v>17</v>
      </c>
      <c r="M418" t="s">
        <v>18</v>
      </c>
      <c r="N418" t="s">
        <v>48</v>
      </c>
      <c r="O418">
        <v>4.0999999999999996</v>
      </c>
      <c r="P418" t="s">
        <v>42</v>
      </c>
      <c r="Q418">
        <v>2025</v>
      </c>
    </row>
    <row r="419" spans="1:17" hidden="1" x14ac:dyDescent="0.3">
      <c r="A419" t="s">
        <v>49</v>
      </c>
      <c r="B419" t="s">
        <v>874</v>
      </c>
      <c r="C419">
        <v>661</v>
      </c>
      <c r="D419">
        <v>6</v>
      </c>
      <c r="E419"/>
      <c r="F419">
        <v>256</v>
      </c>
      <c r="G419">
        <v>50</v>
      </c>
      <c r="H419"/>
      <c r="I419">
        <v>5000</v>
      </c>
      <c r="J419">
        <v>6.1</v>
      </c>
      <c r="K419">
        <v>120</v>
      </c>
      <c r="L419" t="s">
        <v>38</v>
      </c>
      <c r="M419" t="s">
        <v>18</v>
      </c>
      <c r="N419" t="s">
        <v>51</v>
      </c>
      <c r="O419">
        <v>4.0999999999999996</v>
      </c>
      <c r="P419" t="s">
        <v>56</v>
      </c>
      <c r="Q419">
        <v>2025</v>
      </c>
    </row>
    <row r="420" spans="1:17" hidden="1" x14ac:dyDescent="0.3">
      <c r="A420" t="s">
        <v>40</v>
      </c>
      <c r="B420" t="s">
        <v>366</v>
      </c>
      <c r="C420">
        <v>1292</v>
      </c>
      <c r="D420">
        <v>6</v>
      </c>
      <c r="E420"/>
      <c r="F420">
        <v>64</v>
      </c>
      <c r="G420">
        <v>108</v>
      </c>
      <c r="H420"/>
      <c r="I420">
        <v>5000</v>
      </c>
      <c r="J420">
        <v>6.6</v>
      </c>
      <c r="K420">
        <v>120</v>
      </c>
      <c r="L420" t="s">
        <v>17</v>
      </c>
      <c r="M420" t="s">
        <v>18</v>
      </c>
      <c r="N420" t="s">
        <v>23</v>
      </c>
      <c r="O420">
        <v>4.0999999999999996</v>
      </c>
      <c r="P420" t="s">
        <v>54</v>
      </c>
      <c r="Q420">
        <v>2025</v>
      </c>
    </row>
    <row r="421" spans="1:17" hidden="1" x14ac:dyDescent="0.3">
      <c r="A421" t="s">
        <v>15</v>
      </c>
      <c r="B421" t="s">
        <v>980</v>
      </c>
      <c r="C421">
        <v>627</v>
      </c>
      <c r="D421">
        <v>6</v>
      </c>
      <c r="E421"/>
      <c r="F421">
        <v>512</v>
      </c>
      <c r="G421">
        <v>64</v>
      </c>
      <c r="H421"/>
      <c r="I421">
        <v>4000</v>
      </c>
      <c r="J421">
        <v>5.6</v>
      </c>
      <c r="K421">
        <v>18</v>
      </c>
      <c r="L421" t="s">
        <v>38</v>
      </c>
      <c r="M421" t="s">
        <v>18</v>
      </c>
      <c r="N421" t="s">
        <v>35</v>
      </c>
      <c r="O421">
        <v>4.0999999999999996</v>
      </c>
      <c r="P421" t="s">
        <v>24</v>
      </c>
      <c r="Q421">
        <v>2025</v>
      </c>
    </row>
    <row r="422" spans="1:17" x14ac:dyDescent="0.3">
      <c r="A422" t="s">
        <v>29</v>
      </c>
      <c r="B422" t="s">
        <v>210</v>
      </c>
      <c r="C422">
        <v>503</v>
      </c>
      <c r="D422">
        <v>12</v>
      </c>
      <c r="E422" s="8">
        <f t="shared" ref="E422:E423" si="38">C422/D422</f>
        <v>41.916666666666664</v>
      </c>
      <c r="F422">
        <v>256</v>
      </c>
      <c r="G422">
        <v>48</v>
      </c>
      <c r="H422" s="8">
        <f t="shared" ref="H422:H423" si="39">C422/G422</f>
        <v>10.479166666666666</v>
      </c>
      <c r="I422">
        <v>5000</v>
      </c>
      <c r="J422">
        <v>6.5</v>
      </c>
      <c r="K422">
        <v>44</v>
      </c>
      <c r="L422" t="s">
        <v>38</v>
      </c>
      <c r="M422" t="s">
        <v>18</v>
      </c>
      <c r="N422" t="s">
        <v>35</v>
      </c>
      <c r="O422">
        <v>4.0999999999999996</v>
      </c>
      <c r="P422" t="s">
        <v>64</v>
      </c>
      <c r="Q422">
        <v>2025</v>
      </c>
    </row>
    <row r="423" spans="1:17" x14ac:dyDescent="0.3">
      <c r="A423" t="s">
        <v>32</v>
      </c>
      <c r="B423" t="s">
        <v>264</v>
      </c>
      <c r="C423">
        <v>506</v>
      </c>
      <c r="D423">
        <v>16</v>
      </c>
      <c r="E423" s="8">
        <f t="shared" si="38"/>
        <v>31.625</v>
      </c>
      <c r="F423">
        <v>256</v>
      </c>
      <c r="G423">
        <v>200</v>
      </c>
      <c r="H423" s="8">
        <f t="shared" si="39"/>
        <v>2.5299999999999998</v>
      </c>
      <c r="I423">
        <v>4500</v>
      </c>
      <c r="J423">
        <v>6.6</v>
      </c>
      <c r="K423">
        <v>44</v>
      </c>
      <c r="L423" t="s">
        <v>38</v>
      </c>
      <c r="M423" t="s">
        <v>34</v>
      </c>
      <c r="N423" t="s">
        <v>51</v>
      </c>
      <c r="O423">
        <v>4.0999999999999996</v>
      </c>
      <c r="P423" t="s">
        <v>54</v>
      </c>
      <c r="Q423">
        <v>2025</v>
      </c>
    </row>
    <row r="424" spans="1:17" hidden="1" x14ac:dyDescent="0.3">
      <c r="A424" t="s">
        <v>49</v>
      </c>
      <c r="B424" t="s">
        <v>109</v>
      </c>
      <c r="C424">
        <v>979</v>
      </c>
      <c r="D424">
        <v>8</v>
      </c>
      <c r="E424"/>
      <c r="F424">
        <v>512</v>
      </c>
      <c r="G424">
        <v>200</v>
      </c>
      <c r="H424"/>
      <c r="I424">
        <v>5500</v>
      </c>
      <c r="J424">
        <v>6.6</v>
      </c>
      <c r="K424">
        <v>65</v>
      </c>
      <c r="L424" t="s">
        <v>38</v>
      </c>
      <c r="M424" t="s">
        <v>18</v>
      </c>
      <c r="N424" t="s">
        <v>48</v>
      </c>
      <c r="O424">
        <v>4.0999999999999996</v>
      </c>
      <c r="P424" t="s">
        <v>54</v>
      </c>
      <c r="Q424">
        <v>2025</v>
      </c>
    </row>
    <row r="425" spans="1:17" hidden="1" x14ac:dyDescent="0.3">
      <c r="A425" t="s">
        <v>25</v>
      </c>
      <c r="B425" t="s">
        <v>118</v>
      </c>
      <c r="C425">
        <v>1276</v>
      </c>
      <c r="D425">
        <v>8</v>
      </c>
      <c r="E425"/>
      <c r="F425">
        <v>256</v>
      </c>
      <c r="G425">
        <v>108</v>
      </c>
      <c r="H425"/>
      <c r="I425">
        <v>5500</v>
      </c>
      <c r="J425">
        <v>6.4</v>
      </c>
      <c r="K425">
        <v>120</v>
      </c>
      <c r="L425" t="s">
        <v>38</v>
      </c>
      <c r="M425" t="s">
        <v>18</v>
      </c>
      <c r="N425" t="s">
        <v>23</v>
      </c>
      <c r="O425">
        <v>4.0999999999999996</v>
      </c>
      <c r="P425" t="s">
        <v>64</v>
      </c>
      <c r="Q425">
        <v>2025</v>
      </c>
    </row>
    <row r="426" spans="1:17" hidden="1" x14ac:dyDescent="0.3">
      <c r="A426" t="s">
        <v>21</v>
      </c>
      <c r="B426" t="s">
        <v>195</v>
      </c>
      <c r="C426">
        <v>287</v>
      </c>
      <c r="D426">
        <v>8</v>
      </c>
      <c r="E426"/>
      <c r="F426">
        <v>512</v>
      </c>
      <c r="G426">
        <v>48</v>
      </c>
      <c r="H426"/>
      <c r="I426">
        <v>5500</v>
      </c>
      <c r="J426">
        <v>6.4</v>
      </c>
      <c r="K426">
        <v>100</v>
      </c>
      <c r="L426" t="s">
        <v>17</v>
      </c>
      <c r="M426" t="s">
        <v>18</v>
      </c>
      <c r="N426" t="s">
        <v>27</v>
      </c>
      <c r="O426">
        <v>4.0999999999999996</v>
      </c>
      <c r="P426" t="s">
        <v>71</v>
      </c>
      <c r="Q426">
        <v>2025</v>
      </c>
    </row>
    <row r="427" spans="1:17" hidden="1" x14ac:dyDescent="0.3">
      <c r="A427" t="s">
        <v>66</v>
      </c>
      <c r="B427" t="s">
        <v>365</v>
      </c>
      <c r="C427">
        <v>653</v>
      </c>
      <c r="D427">
        <v>8</v>
      </c>
      <c r="E427"/>
      <c r="F427">
        <v>128</v>
      </c>
      <c r="G427">
        <v>200</v>
      </c>
      <c r="H427"/>
      <c r="I427">
        <v>6000</v>
      </c>
      <c r="J427">
        <v>6</v>
      </c>
      <c r="K427">
        <v>65</v>
      </c>
      <c r="L427" t="s">
        <v>17</v>
      </c>
      <c r="M427" t="s">
        <v>18</v>
      </c>
      <c r="N427" t="s">
        <v>31</v>
      </c>
      <c r="O427">
        <v>4.0999999999999996</v>
      </c>
      <c r="P427" t="s">
        <v>42</v>
      </c>
      <c r="Q427">
        <v>2025</v>
      </c>
    </row>
    <row r="428" spans="1:17" hidden="1" x14ac:dyDescent="0.3">
      <c r="A428" t="s">
        <v>40</v>
      </c>
      <c r="B428" t="s">
        <v>383</v>
      </c>
      <c r="C428">
        <v>284</v>
      </c>
      <c r="D428">
        <v>8</v>
      </c>
      <c r="E428"/>
      <c r="F428">
        <v>128</v>
      </c>
      <c r="G428">
        <v>200</v>
      </c>
      <c r="H428"/>
      <c r="I428">
        <v>4000</v>
      </c>
      <c r="J428">
        <v>7</v>
      </c>
      <c r="K428">
        <v>120</v>
      </c>
      <c r="L428" t="s">
        <v>38</v>
      </c>
      <c r="M428" t="s">
        <v>18</v>
      </c>
      <c r="N428" t="s">
        <v>35</v>
      </c>
      <c r="O428">
        <v>4.0999999999999996</v>
      </c>
      <c r="P428" t="s">
        <v>64</v>
      </c>
      <c r="Q428">
        <v>2025</v>
      </c>
    </row>
    <row r="429" spans="1:17" x14ac:dyDescent="0.3">
      <c r="A429" t="s">
        <v>25</v>
      </c>
      <c r="B429" t="s">
        <v>485</v>
      </c>
      <c r="C429">
        <v>1094</v>
      </c>
      <c r="D429">
        <v>8</v>
      </c>
      <c r="E429" s="8">
        <f>C429/D429</f>
        <v>136.75</v>
      </c>
      <c r="F429">
        <v>256</v>
      </c>
      <c r="G429">
        <v>50</v>
      </c>
      <c r="H429" s="8">
        <f>C429/G429</f>
        <v>21.88</v>
      </c>
      <c r="I429">
        <v>4000</v>
      </c>
      <c r="J429">
        <v>6</v>
      </c>
      <c r="K429">
        <v>65</v>
      </c>
      <c r="L429" t="s">
        <v>38</v>
      </c>
      <c r="M429" t="s">
        <v>18</v>
      </c>
      <c r="N429" t="s">
        <v>61</v>
      </c>
      <c r="O429">
        <v>4.0999999999999996</v>
      </c>
      <c r="P429" t="s">
        <v>82</v>
      </c>
      <c r="Q429">
        <v>2025</v>
      </c>
    </row>
    <row r="430" spans="1:17" hidden="1" x14ac:dyDescent="0.3">
      <c r="A430" t="s">
        <v>40</v>
      </c>
      <c r="B430" t="s">
        <v>487</v>
      </c>
      <c r="C430">
        <v>1223</v>
      </c>
      <c r="D430">
        <v>8</v>
      </c>
      <c r="E430"/>
      <c r="F430">
        <v>256</v>
      </c>
      <c r="G430">
        <v>48</v>
      </c>
      <c r="H430"/>
      <c r="I430">
        <v>5500</v>
      </c>
      <c r="J430">
        <v>6.8</v>
      </c>
      <c r="K430">
        <v>65</v>
      </c>
      <c r="L430" t="s">
        <v>38</v>
      </c>
      <c r="M430" t="s">
        <v>18</v>
      </c>
      <c r="N430" t="s">
        <v>48</v>
      </c>
      <c r="O430">
        <v>4.0999999999999996</v>
      </c>
      <c r="P430" t="s">
        <v>44</v>
      </c>
      <c r="Q430">
        <v>2025</v>
      </c>
    </row>
    <row r="431" spans="1:17" x14ac:dyDescent="0.3">
      <c r="A431" t="s">
        <v>29</v>
      </c>
      <c r="B431" t="s">
        <v>193</v>
      </c>
      <c r="C431">
        <v>1220</v>
      </c>
      <c r="D431">
        <v>16</v>
      </c>
      <c r="E431" s="8">
        <f t="shared" ref="E431:E432" si="40">C431/D431</f>
        <v>76.25</v>
      </c>
      <c r="F431">
        <v>64</v>
      </c>
      <c r="G431">
        <v>64</v>
      </c>
      <c r="H431" s="8">
        <f t="shared" ref="H431:H432" si="41">C431/G431</f>
        <v>19.0625</v>
      </c>
      <c r="I431">
        <v>4500</v>
      </c>
      <c r="J431">
        <v>6</v>
      </c>
      <c r="K431">
        <v>65</v>
      </c>
      <c r="L431" t="s">
        <v>38</v>
      </c>
      <c r="M431" t="s">
        <v>18</v>
      </c>
      <c r="N431" t="s">
        <v>27</v>
      </c>
      <c r="O431">
        <v>4.0999999999999996</v>
      </c>
      <c r="P431" t="s">
        <v>42</v>
      </c>
      <c r="Q431">
        <v>2025</v>
      </c>
    </row>
    <row r="432" spans="1:17" hidden="1" x14ac:dyDescent="0.3">
      <c r="A432" t="s">
        <v>66</v>
      </c>
      <c r="B432" t="s">
        <v>512</v>
      </c>
      <c r="C432">
        <v>820</v>
      </c>
      <c r="D432">
        <v>6</v>
      </c>
      <c r="E432" s="8">
        <f t="shared" si="40"/>
        <v>136.66666666666666</v>
      </c>
      <c r="F432">
        <v>64</v>
      </c>
      <c r="G432">
        <v>64</v>
      </c>
      <c r="H432" s="8">
        <f t="shared" si="41"/>
        <v>12.8125</v>
      </c>
      <c r="I432">
        <v>5500</v>
      </c>
      <c r="J432">
        <v>6.9</v>
      </c>
      <c r="K432">
        <v>65</v>
      </c>
      <c r="L432" t="s">
        <v>17</v>
      </c>
      <c r="M432" t="s">
        <v>18</v>
      </c>
      <c r="N432" t="s">
        <v>19</v>
      </c>
      <c r="O432">
        <v>4.0999999999999996</v>
      </c>
      <c r="P432" t="s">
        <v>42</v>
      </c>
      <c r="Q432">
        <v>2025</v>
      </c>
    </row>
    <row r="433" spans="1:17" hidden="1" x14ac:dyDescent="0.3">
      <c r="A433" t="s">
        <v>40</v>
      </c>
      <c r="B433" t="s">
        <v>742</v>
      </c>
      <c r="C433">
        <v>359</v>
      </c>
      <c r="D433">
        <v>8</v>
      </c>
      <c r="E433"/>
      <c r="F433">
        <v>512</v>
      </c>
      <c r="G433">
        <v>200</v>
      </c>
      <c r="H433"/>
      <c r="I433">
        <v>4500</v>
      </c>
      <c r="J433">
        <v>6.1</v>
      </c>
      <c r="K433">
        <v>18</v>
      </c>
      <c r="L433" t="s">
        <v>38</v>
      </c>
      <c r="M433" t="s">
        <v>18</v>
      </c>
      <c r="N433" t="s">
        <v>61</v>
      </c>
      <c r="O433">
        <v>4.0999999999999996</v>
      </c>
      <c r="P433" t="s">
        <v>71</v>
      </c>
      <c r="Q433">
        <v>2025</v>
      </c>
    </row>
    <row r="434" spans="1:17" hidden="1" x14ac:dyDescent="0.3">
      <c r="A434" t="s">
        <v>29</v>
      </c>
      <c r="B434" t="s">
        <v>776</v>
      </c>
      <c r="C434">
        <v>189</v>
      </c>
      <c r="D434">
        <v>8</v>
      </c>
      <c r="E434"/>
      <c r="F434">
        <v>512</v>
      </c>
      <c r="G434">
        <v>12</v>
      </c>
      <c r="H434"/>
      <c r="I434">
        <v>5000</v>
      </c>
      <c r="J434">
        <v>6.8</v>
      </c>
      <c r="K434">
        <v>18</v>
      </c>
      <c r="L434" t="s">
        <v>38</v>
      </c>
      <c r="M434" t="s">
        <v>18</v>
      </c>
      <c r="N434" t="s">
        <v>35</v>
      </c>
      <c r="O434">
        <v>4.0999999999999996</v>
      </c>
      <c r="P434" t="s">
        <v>54</v>
      </c>
      <c r="Q434">
        <v>2025</v>
      </c>
    </row>
    <row r="435" spans="1:17" hidden="1" x14ac:dyDescent="0.3">
      <c r="A435" t="s">
        <v>66</v>
      </c>
      <c r="B435" t="s">
        <v>809</v>
      </c>
      <c r="C435">
        <v>227</v>
      </c>
      <c r="D435">
        <v>8</v>
      </c>
      <c r="E435"/>
      <c r="F435">
        <v>64</v>
      </c>
      <c r="G435">
        <v>12</v>
      </c>
      <c r="H435"/>
      <c r="I435">
        <v>5000</v>
      </c>
      <c r="J435">
        <v>5.8</v>
      </c>
      <c r="K435">
        <v>44</v>
      </c>
      <c r="L435" t="s">
        <v>17</v>
      </c>
      <c r="M435" t="s">
        <v>18</v>
      </c>
      <c r="N435" t="s">
        <v>31</v>
      </c>
      <c r="O435">
        <v>4.0999999999999996</v>
      </c>
      <c r="P435" t="s">
        <v>28</v>
      </c>
      <c r="Q435">
        <v>2025</v>
      </c>
    </row>
    <row r="436" spans="1:17" hidden="1" x14ac:dyDescent="0.3">
      <c r="A436" t="s">
        <v>36</v>
      </c>
      <c r="B436" t="s">
        <v>869</v>
      </c>
      <c r="C436">
        <v>628</v>
      </c>
      <c r="D436">
        <v>8</v>
      </c>
      <c r="E436"/>
      <c r="F436">
        <v>128</v>
      </c>
      <c r="G436">
        <v>48</v>
      </c>
      <c r="H436"/>
      <c r="I436">
        <v>6000</v>
      </c>
      <c r="J436">
        <v>5.8</v>
      </c>
      <c r="K436">
        <v>65</v>
      </c>
      <c r="L436" t="s">
        <v>17</v>
      </c>
      <c r="M436" t="s">
        <v>18</v>
      </c>
      <c r="N436" t="s">
        <v>19</v>
      </c>
      <c r="O436">
        <v>4.0999999999999996</v>
      </c>
      <c r="P436" t="s">
        <v>42</v>
      </c>
      <c r="Q436">
        <v>2025</v>
      </c>
    </row>
    <row r="437" spans="1:17" hidden="1" x14ac:dyDescent="0.3">
      <c r="A437" t="s">
        <v>40</v>
      </c>
      <c r="B437" t="s">
        <v>41</v>
      </c>
      <c r="C437">
        <v>418</v>
      </c>
      <c r="D437">
        <v>12</v>
      </c>
      <c r="E437"/>
      <c r="F437">
        <v>256</v>
      </c>
      <c r="G437">
        <v>64</v>
      </c>
      <c r="H437"/>
      <c r="I437">
        <v>6000</v>
      </c>
      <c r="J437">
        <v>6.9</v>
      </c>
      <c r="K437">
        <v>44</v>
      </c>
      <c r="L437" t="s">
        <v>38</v>
      </c>
      <c r="M437" t="s">
        <v>18</v>
      </c>
      <c r="N437" t="s">
        <v>31</v>
      </c>
      <c r="O437">
        <v>4.0999999999999996</v>
      </c>
      <c r="P437" t="s">
        <v>42</v>
      </c>
      <c r="Q437">
        <v>2025</v>
      </c>
    </row>
    <row r="438" spans="1:17" hidden="1" x14ac:dyDescent="0.3">
      <c r="A438" t="s">
        <v>49</v>
      </c>
      <c r="B438" t="s">
        <v>204</v>
      </c>
      <c r="C438">
        <v>910</v>
      </c>
      <c r="D438">
        <v>4</v>
      </c>
      <c r="E438" s="8">
        <f>C438/D438</f>
        <v>227.5</v>
      </c>
      <c r="F438">
        <v>64</v>
      </c>
      <c r="G438">
        <v>108</v>
      </c>
      <c r="H438" s="8">
        <f>C438/G438</f>
        <v>8.4259259259259256</v>
      </c>
      <c r="I438">
        <v>6000</v>
      </c>
      <c r="J438">
        <v>6.9</v>
      </c>
      <c r="K438">
        <v>65</v>
      </c>
      <c r="L438" t="s">
        <v>17</v>
      </c>
      <c r="M438" t="s">
        <v>18</v>
      </c>
      <c r="N438" t="s">
        <v>51</v>
      </c>
      <c r="O438">
        <v>4.0999999999999996</v>
      </c>
      <c r="P438" t="s">
        <v>54</v>
      </c>
      <c r="Q438">
        <v>2025</v>
      </c>
    </row>
    <row r="439" spans="1:17" hidden="1" x14ac:dyDescent="0.3">
      <c r="A439" t="s">
        <v>29</v>
      </c>
      <c r="B439" t="s">
        <v>159</v>
      </c>
      <c r="C439">
        <v>544</v>
      </c>
      <c r="D439">
        <v>12</v>
      </c>
      <c r="E439"/>
      <c r="F439">
        <v>1024</v>
      </c>
      <c r="G439">
        <v>200</v>
      </c>
      <c r="H439"/>
      <c r="I439">
        <v>4000</v>
      </c>
      <c r="J439">
        <v>6.8</v>
      </c>
      <c r="K439">
        <v>44</v>
      </c>
      <c r="L439" t="s">
        <v>17</v>
      </c>
      <c r="M439" t="s">
        <v>18</v>
      </c>
      <c r="N439" t="s">
        <v>23</v>
      </c>
      <c r="O439">
        <v>4.0999999999999996</v>
      </c>
      <c r="P439" t="s">
        <v>24</v>
      </c>
      <c r="Q439">
        <v>2025</v>
      </c>
    </row>
    <row r="440" spans="1:17" hidden="1" x14ac:dyDescent="0.3">
      <c r="A440" t="s">
        <v>49</v>
      </c>
      <c r="B440" t="s">
        <v>50</v>
      </c>
      <c r="C440">
        <v>1093</v>
      </c>
      <c r="D440">
        <v>8</v>
      </c>
      <c r="E440" s="8">
        <f>C440/D440</f>
        <v>136.625</v>
      </c>
      <c r="F440">
        <v>1024</v>
      </c>
      <c r="G440">
        <v>200</v>
      </c>
      <c r="H440" s="8">
        <f>C440/G440</f>
        <v>5.4649999999999999</v>
      </c>
      <c r="I440">
        <v>4000</v>
      </c>
      <c r="J440">
        <v>5.6</v>
      </c>
      <c r="K440">
        <v>100</v>
      </c>
      <c r="L440" t="s">
        <v>17</v>
      </c>
      <c r="M440" t="s">
        <v>18</v>
      </c>
      <c r="N440" t="s">
        <v>51</v>
      </c>
      <c r="O440">
        <v>4.0999999999999996</v>
      </c>
      <c r="P440" t="s">
        <v>42</v>
      </c>
      <c r="Q440">
        <v>2025</v>
      </c>
    </row>
    <row r="441" spans="1:17" hidden="1" x14ac:dyDescent="0.3">
      <c r="A441" t="s">
        <v>32</v>
      </c>
      <c r="B441" t="s">
        <v>353</v>
      </c>
      <c r="C441">
        <v>1163</v>
      </c>
      <c r="D441">
        <v>12</v>
      </c>
      <c r="E441"/>
      <c r="F441">
        <v>64</v>
      </c>
      <c r="G441">
        <v>108</v>
      </c>
      <c r="H441"/>
      <c r="I441">
        <v>4000</v>
      </c>
      <c r="J441">
        <v>7</v>
      </c>
      <c r="K441">
        <v>100</v>
      </c>
      <c r="L441" t="s">
        <v>38</v>
      </c>
      <c r="M441" t="s">
        <v>34</v>
      </c>
      <c r="N441" t="s">
        <v>27</v>
      </c>
      <c r="O441">
        <v>4.0999999999999996</v>
      </c>
      <c r="P441" t="s">
        <v>28</v>
      </c>
      <c r="Q441">
        <v>2025</v>
      </c>
    </row>
    <row r="442" spans="1:17" hidden="1" x14ac:dyDescent="0.3">
      <c r="A442" t="s">
        <v>32</v>
      </c>
      <c r="B442" t="s">
        <v>562</v>
      </c>
      <c r="C442">
        <v>492</v>
      </c>
      <c r="D442">
        <v>12</v>
      </c>
      <c r="E442"/>
      <c r="F442">
        <v>64</v>
      </c>
      <c r="G442">
        <v>12</v>
      </c>
      <c r="H442"/>
      <c r="I442">
        <v>4500</v>
      </c>
      <c r="J442">
        <v>6.6</v>
      </c>
      <c r="K442">
        <v>33</v>
      </c>
      <c r="L442" t="s">
        <v>38</v>
      </c>
      <c r="M442" t="s">
        <v>34</v>
      </c>
      <c r="N442" t="s">
        <v>48</v>
      </c>
      <c r="O442">
        <v>4.0999999999999996</v>
      </c>
      <c r="P442" t="s">
        <v>82</v>
      </c>
      <c r="Q442">
        <v>2025</v>
      </c>
    </row>
    <row r="443" spans="1:17" hidden="1" x14ac:dyDescent="0.3">
      <c r="A443" t="s">
        <v>29</v>
      </c>
      <c r="B443" t="s">
        <v>605</v>
      </c>
      <c r="C443">
        <v>773</v>
      </c>
      <c r="D443">
        <v>12</v>
      </c>
      <c r="E443"/>
      <c r="F443">
        <v>128</v>
      </c>
      <c r="G443">
        <v>12</v>
      </c>
      <c r="H443"/>
      <c r="I443">
        <v>4000</v>
      </c>
      <c r="J443">
        <v>7.2</v>
      </c>
      <c r="K443">
        <v>65</v>
      </c>
      <c r="L443" t="s">
        <v>17</v>
      </c>
      <c r="M443" t="s">
        <v>18</v>
      </c>
      <c r="N443" t="s">
        <v>48</v>
      </c>
      <c r="O443">
        <v>4.0999999999999996</v>
      </c>
      <c r="P443" t="s">
        <v>64</v>
      </c>
      <c r="Q443">
        <v>2025</v>
      </c>
    </row>
    <row r="444" spans="1:17" x14ac:dyDescent="0.3">
      <c r="A444" t="s">
        <v>40</v>
      </c>
      <c r="B444" t="s">
        <v>216</v>
      </c>
      <c r="C444">
        <v>1430</v>
      </c>
      <c r="D444">
        <v>6</v>
      </c>
      <c r="E444" s="8">
        <f>C444/D444</f>
        <v>238.33333333333334</v>
      </c>
      <c r="F444">
        <v>64</v>
      </c>
      <c r="G444">
        <v>48</v>
      </c>
      <c r="H444" s="8">
        <f>C444/G444</f>
        <v>29.791666666666668</v>
      </c>
      <c r="I444">
        <v>6000</v>
      </c>
      <c r="J444">
        <v>6.1</v>
      </c>
      <c r="K444">
        <v>100</v>
      </c>
      <c r="L444" t="s">
        <v>38</v>
      </c>
      <c r="M444" t="s">
        <v>18</v>
      </c>
      <c r="N444" t="s">
        <v>51</v>
      </c>
      <c r="O444">
        <v>4.0999999999999996</v>
      </c>
      <c r="P444" t="s">
        <v>64</v>
      </c>
      <c r="Q444">
        <v>2025</v>
      </c>
    </row>
    <row r="445" spans="1:17" hidden="1" x14ac:dyDescent="0.3">
      <c r="A445" t="s">
        <v>36</v>
      </c>
      <c r="B445" t="s">
        <v>657</v>
      </c>
      <c r="C445">
        <v>1483</v>
      </c>
      <c r="D445">
        <v>12</v>
      </c>
      <c r="E445"/>
      <c r="F445">
        <v>512</v>
      </c>
      <c r="G445">
        <v>50</v>
      </c>
      <c r="H445"/>
      <c r="I445">
        <v>5500</v>
      </c>
      <c r="J445">
        <v>7</v>
      </c>
      <c r="K445">
        <v>65</v>
      </c>
      <c r="L445" t="s">
        <v>17</v>
      </c>
      <c r="M445" t="s">
        <v>18</v>
      </c>
      <c r="N445" t="s">
        <v>19</v>
      </c>
      <c r="O445">
        <v>4.0999999999999996</v>
      </c>
      <c r="P445" t="s">
        <v>42</v>
      </c>
      <c r="Q445">
        <v>2025</v>
      </c>
    </row>
    <row r="446" spans="1:17" x14ac:dyDescent="0.3">
      <c r="A446" t="s">
        <v>21</v>
      </c>
      <c r="B446" t="s">
        <v>228</v>
      </c>
      <c r="C446">
        <v>360</v>
      </c>
      <c r="D446">
        <v>6</v>
      </c>
      <c r="E446" s="8">
        <f>C446/D446</f>
        <v>60</v>
      </c>
      <c r="F446">
        <v>256</v>
      </c>
      <c r="G446">
        <v>108</v>
      </c>
      <c r="H446" s="8">
        <f>C446/G446</f>
        <v>3.3333333333333335</v>
      </c>
      <c r="I446">
        <v>4000</v>
      </c>
      <c r="J446">
        <v>6.6</v>
      </c>
      <c r="K446">
        <v>100</v>
      </c>
      <c r="L446" t="s">
        <v>38</v>
      </c>
      <c r="M446" t="s">
        <v>18</v>
      </c>
      <c r="N446" t="s">
        <v>27</v>
      </c>
      <c r="O446">
        <v>4.0999999999999996</v>
      </c>
      <c r="P446" t="s">
        <v>39</v>
      </c>
      <c r="Q446">
        <v>2025</v>
      </c>
    </row>
    <row r="447" spans="1:17" hidden="1" x14ac:dyDescent="0.3">
      <c r="A447" t="s">
        <v>49</v>
      </c>
      <c r="B447" t="s">
        <v>736</v>
      </c>
      <c r="C447">
        <v>165</v>
      </c>
      <c r="D447">
        <v>12</v>
      </c>
      <c r="E447"/>
      <c r="F447">
        <v>64</v>
      </c>
      <c r="G447">
        <v>50</v>
      </c>
      <c r="H447"/>
      <c r="I447">
        <v>6000</v>
      </c>
      <c r="J447">
        <v>6.5</v>
      </c>
      <c r="K447">
        <v>65</v>
      </c>
      <c r="L447" t="s">
        <v>17</v>
      </c>
      <c r="M447" t="s">
        <v>18</v>
      </c>
      <c r="N447" t="s">
        <v>48</v>
      </c>
      <c r="O447">
        <v>4.0999999999999996</v>
      </c>
      <c r="P447" t="s">
        <v>71</v>
      </c>
      <c r="Q447">
        <v>2025</v>
      </c>
    </row>
    <row r="448" spans="1:17" hidden="1" x14ac:dyDescent="0.3">
      <c r="A448" t="s">
        <v>25</v>
      </c>
      <c r="B448" t="s">
        <v>26</v>
      </c>
      <c r="C448">
        <v>258</v>
      </c>
      <c r="D448">
        <v>16</v>
      </c>
      <c r="E448"/>
      <c r="F448">
        <v>64</v>
      </c>
      <c r="G448">
        <v>64</v>
      </c>
      <c r="H448"/>
      <c r="I448">
        <v>4000</v>
      </c>
      <c r="J448">
        <v>6.8</v>
      </c>
      <c r="K448">
        <v>44</v>
      </c>
      <c r="L448" t="s">
        <v>17</v>
      </c>
      <c r="M448" t="s">
        <v>18</v>
      </c>
      <c r="N448" t="s">
        <v>27</v>
      </c>
      <c r="O448">
        <v>4.0999999999999996</v>
      </c>
      <c r="P448" t="s">
        <v>28</v>
      </c>
      <c r="Q448">
        <v>2025</v>
      </c>
    </row>
    <row r="449" spans="1:17" hidden="1" x14ac:dyDescent="0.3">
      <c r="A449" t="s">
        <v>25</v>
      </c>
      <c r="B449" t="s">
        <v>101</v>
      </c>
      <c r="C449">
        <v>1332</v>
      </c>
      <c r="D449">
        <v>16</v>
      </c>
      <c r="E449"/>
      <c r="F449">
        <v>1024</v>
      </c>
      <c r="G449">
        <v>108</v>
      </c>
      <c r="H449"/>
      <c r="I449">
        <v>5500</v>
      </c>
      <c r="J449">
        <v>5.9</v>
      </c>
      <c r="K449">
        <v>33</v>
      </c>
      <c r="L449" t="s">
        <v>17</v>
      </c>
      <c r="M449" t="s">
        <v>18</v>
      </c>
      <c r="N449" t="s">
        <v>61</v>
      </c>
      <c r="O449">
        <v>4.0999999999999996</v>
      </c>
      <c r="P449" t="s">
        <v>20</v>
      </c>
      <c r="Q449">
        <v>2025</v>
      </c>
    </row>
    <row r="450" spans="1:17" hidden="1" x14ac:dyDescent="0.3">
      <c r="A450" t="s">
        <v>49</v>
      </c>
      <c r="B450" t="s">
        <v>116</v>
      </c>
      <c r="C450">
        <v>876</v>
      </c>
      <c r="D450">
        <v>16</v>
      </c>
      <c r="E450"/>
      <c r="F450">
        <v>64</v>
      </c>
      <c r="G450">
        <v>48</v>
      </c>
      <c r="H450"/>
      <c r="I450">
        <v>4000</v>
      </c>
      <c r="J450">
        <v>6.4</v>
      </c>
      <c r="K450">
        <v>18</v>
      </c>
      <c r="L450" t="s">
        <v>38</v>
      </c>
      <c r="M450" t="s">
        <v>18</v>
      </c>
      <c r="N450" t="s">
        <v>61</v>
      </c>
      <c r="O450">
        <v>4.0999999999999996</v>
      </c>
      <c r="P450" t="s">
        <v>56</v>
      </c>
      <c r="Q450">
        <v>2025</v>
      </c>
    </row>
    <row r="451" spans="1:17" x14ac:dyDescent="0.3">
      <c r="A451" t="s">
        <v>66</v>
      </c>
      <c r="B451" t="s">
        <v>727</v>
      </c>
      <c r="C451">
        <v>1019</v>
      </c>
      <c r="D451">
        <v>8</v>
      </c>
      <c r="E451" s="8">
        <f>C451/D451</f>
        <v>127.375</v>
      </c>
      <c r="F451">
        <v>1024</v>
      </c>
      <c r="G451">
        <v>50</v>
      </c>
      <c r="H451" s="8">
        <f>C451/G451</f>
        <v>20.38</v>
      </c>
      <c r="I451">
        <v>5500</v>
      </c>
      <c r="J451">
        <v>6.2</v>
      </c>
      <c r="K451">
        <v>120</v>
      </c>
      <c r="L451" t="s">
        <v>38</v>
      </c>
      <c r="M451" t="s">
        <v>18</v>
      </c>
      <c r="N451" t="s">
        <v>35</v>
      </c>
      <c r="O451">
        <v>4.0999999999999996</v>
      </c>
      <c r="P451" t="s">
        <v>82</v>
      </c>
      <c r="Q451">
        <v>2025</v>
      </c>
    </row>
    <row r="452" spans="1:17" hidden="1" x14ac:dyDescent="0.3">
      <c r="A452" t="s">
        <v>29</v>
      </c>
      <c r="B452" t="s">
        <v>150</v>
      </c>
      <c r="C452">
        <v>913</v>
      </c>
      <c r="D452">
        <v>16</v>
      </c>
      <c r="E452"/>
      <c r="F452">
        <v>1024</v>
      </c>
      <c r="G452">
        <v>48</v>
      </c>
      <c r="H452"/>
      <c r="I452">
        <v>5500</v>
      </c>
      <c r="J452">
        <v>7.1</v>
      </c>
      <c r="K452">
        <v>33</v>
      </c>
      <c r="L452" t="s">
        <v>38</v>
      </c>
      <c r="M452" t="s">
        <v>18</v>
      </c>
      <c r="N452" t="s">
        <v>51</v>
      </c>
      <c r="O452">
        <v>4.0999999999999996</v>
      </c>
      <c r="P452" t="s">
        <v>71</v>
      </c>
      <c r="Q452">
        <v>2025</v>
      </c>
    </row>
    <row r="453" spans="1:17" hidden="1" x14ac:dyDescent="0.3">
      <c r="A453" t="s">
        <v>66</v>
      </c>
      <c r="B453" t="s">
        <v>166</v>
      </c>
      <c r="C453">
        <v>1321</v>
      </c>
      <c r="D453">
        <v>16</v>
      </c>
      <c r="E453"/>
      <c r="F453">
        <v>256</v>
      </c>
      <c r="G453">
        <v>64</v>
      </c>
      <c r="H453"/>
      <c r="I453">
        <v>4000</v>
      </c>
      <c r="J453">
        <v>7</v>
      </c>
      <c r="K453">
        <v>44</v>
      </c>
      <c r="L453" t="s">
        <v>17</v>
      </c>
      <c r="M453" t="s">
        <v>18</v>
      </c>
      <c r="N453" t="s">
        <v>23</v>
      </c>
      <c r="O453">
        <v>4.0999999999999996</v>
      </c>
      <c r="P453" t="s">
        <v>20</v>
      </c>
      <c r="Q453">
        <v>2025</v>
      </c>
    </row>
    <row r="454" spans="1:17" hidden="1" x14ac:dyDescent="0.3">
      <c r="A454" t="s">
        <v>25</v>
      </c>
      <c r="B454" t="s">
        <v>940</v>
      </c>
      <c r="C454">
        <v>1140</v>
      </c>
      <c r="D454">
        <v>16</v>
      </c>
      <c r="E454" s="8">
        <f t="shared" ref="E454:E455" si="42">C454/D454</f>
        <v>71.25</v>
      </c>
      <c r="F454">
        <v>1024</v>
      </c>
      <c r="G454">
        <v>64</v>
      </c>
      <c r="H454" s="8">
        <f t="shared" ref="H454:H455" si="43">C454/G454</f>
        <v>17.8125</v>
      </c>
      <c r="I454">
        <v>4500</v>
      </c>
      <c r="J454">
        <v>6.6</v>
      </c>
      <c r="K454">
        <v>120</v>
      </c>
      <c r="L454" t="s">
        <v>17</v>
      </c>
      <c r="M454" t="s">
        <v>18</v>
      </c>
      <c r="N454" t="s">
        <v>51</v>
      </c>
      <c r="O454">
        <v>4.0999999999999996</v>
      </c>
      <c r="P454" t="s">
        <v>42</v>
      </c>
      <c r="Q454">
        <v>2025</v>
      </c>
    </row>
    <row r="455" spans="1:17" hidden="1" x14ac:dyDescent="0.3">
      <c r="A455" t="s">
        <v>15</v>
      </c>
      <c r="B455" t="s">
        <v>709</v>
      </c>
      <c r="C455">
        <v>1064</v>
      </c>
      <c r="D455">
        <v>12</v>
      </c>
      <c r="E455" s="8">
        <f t="shared" si="42"/>
        <v>88.666666666666671</v>
      </c>
      <c r="F455">
        <v>1024</v>
      </c>
      <c r="G455">
        <v>108</v>
      </c>
      <c r="H455" s="8">
        <f t="shared" si="43"/>
        <v>9.8518518518518512</v>
      </c>
      <c r="I455">
        <v>5000</v>
      </c>
      <c r="J455">
        <v>6.7</v>
      </c>
      <c r="K455">
        <v>120</v>
      </c>
      <c r="L455" t="s">
        <v>17</v>
      </c>
      <c r="M455" t="s">
        <v>18</v>
      </c>
      <c r="N455" t="s">
        <v>31</v>
      </c>
      <c r="O455">
        <v>4.0999999999999996</v>
      </c>
      <c r="P455" t="s">
        <v>56</v>
      </c>
      <c r="Q455">
        <v>2025</v>
      </c>
    </row>
    <row r="456" spans="1:17" hidden="1" x14ac:dyDescent="0.3">
      <c r="A456" t="s">
        <v>40</v>
      </c>
      <c r="B456" t="s">
        <v>283</v>
      </c>
      <c r="C456">
        <v>881</v>
      </c>
      <c r="D456">
        <v>16</v>
      </c>
      <c r="E456"/>
      <c r="F456">
        <v>1024</v>
      </c>
      <c r="G456">
        <v>200</v>
      </c>
      <c r="H456"/>
      <c r="I456">
        <v>5500</v>
      </c>
      <c r="J456">
        <v>6</v>
      </c>
      <c r="K456">
        <v>120</v>
      </c>
      <c r="L456" t="s">
        <v>38</v>
      </c>
      <c r="M456" t="s">
        <v>18</v>
      </c>
      <c r="N456" t="s">
        <v>51</v>
      </c>
      <c r="O456">
        <v>4.0999999999999996</v>
      </c>
      <c r="P456" t="s">
        <v>54</v>
      </c>
      <c r="Q456">
        <v>2025</v>
      </c>
    </row>
    <row r="457" spans="1:17" hidden="1" x14ac:dyDescent="0.3">
      <c r="A457" t="s">
        <v>29</v>
      </c>
      <c r="B457" t="s">
        <v>726</v>
      </c>
      <c r="C457">
        <v>404</v>
      </c>
      <c r="D457">
        <v>8</v>
      </c>
      <c r="E457" s="8">
        <f>C457/D457</f>
        <v>50.5</v>
      </c>
      <c r="F457">
        <v>1024</v>
      </c>
      <c r="G457">
        <v>50</v>
      </c>
      <c r="H457" s="8">
        <f>C457/G457</f>
        <v>8.08</v>
      </c>
      <c r="I457">
        <v>5000</v>
      </c>
      <c r="J457">
        <v>7</v>
      </c>
      <c r="K457">
        <v>120</v>
      </c>
      <c r="L457" t="s">
        <v>17</v>
      </c>
      <c r="M457" t="s">
        <v>18</v>
      </c>
      <c r="N457" t="s">
        <v>19</v>
      </c>
      <c r="O457">
        <v>4.0999999999999996</v>
      </c>
      <c r="P457" t="s">
        <v>82</v>
      </c>
      <c r="Q457">
        <v>2025</v>
      </c>
    </row>
    <row r="458" spans="1:17" hidden="1" x14ac:dyDescent="0.3">
      <c r="A458" t="s">
        <v>32</v>
      </c>
      <c r="B458" t="s">
        <v>721</v>
      </c>
      <c r="C458">
        <v>1371</v>
      </c>
      <c r="D458">
        <v>16</v>
      </c>
      <c r="E458"/>
      <c r="F458">
        <v>128</v>
      </c>
      <c r="G458">
        <v>64</v>
      </c>
      <c r="H458"/>
      <c r="I458">
        <v>4500</v>
      </c>
      <c r="J458">
        <v>7</v>
      </c>
      <c r="K458">
        <v>65</v>
      </c>
      <c r="L458" t="s">
        <v>38</v>
      </c>
      <c r="M458" t="s">
        <v>34</v>
      </c>
      <c r="N458" t="s">
        <v>19</v>
      </c>
      <c r="O458">
        <v>4.0999999999999996</v>
      </c>
      <c r="P458" t="s">
        <v>56</v>
      </c>
      <c r="Q458">
        <v>2025</v>
      </c>
    </row>
    <row r="459" spans="1:17" hidden="1" x14ac:dyDescent="0.3">
      <c r="A459" t="s">
        <v>15</v>
      </c>
      <c r="B459" t="s">
        <v>910</v>
      </c>
      <c r="C459">
        <v>581</v>
      </c>
      <c r="D459">
        <v>16</v>
      </c>
      <c r="E459"/>
      <c r="F459">
        <v>512</v>
      </c>
      <c r="G459">
        <v>108</v>
      </c>
      <c r="H459"/>
      <c r="I459">
        <v>4000</v>
      </c>
      <c r="J459">
        <v>6</v>
      </c>
      <c r="K459">
        <v>18</v>
      </c>
      <c r="L459" t="s">
        <v>17</v>
      </c>
      <c r="M459" t="s">
        <v>18</v>
      </c>
      <c r="N459" t="s">
        <v>31</v>
      </c>
      <c r="O459">
        <v>4.0999999999999996</v>
      </c>
      <c r="P459" t="s">
        <v>64</v>
      </c>
      <c r="Q459">
        <v>2025</v>
      </c>
    </row>
    <row r="460" spans="1:17" hidden="1" x14ac:dyDescent="0.3">
      <c r="A460" t="s">
        <v>29</v>
      </c>
      <c r="B460" t="s">
        <v>932</v>
      </c>
      <c r="C460">
        <v>231</v>
      </c>
      <c r="D460">
        <v>16</v>
      </c>
      <c r="E460"/>
      <c r="F460">
        <v>1024</v>
      </c>
      <c r="G460">
        <v>48</v>
      </c>
      <c r="H460"/>
      <c r="I460">
        <v>5000</v>
      </c>
      <c r="J460">
        <v>5.9</v>
      </c>
      <c r="K460">
        <v>100</v>
      </c>
      <c r="L460" t="s">
        <v>38</v>
      </c>
      <c r="M460" t="s">
        <v>18</v>
      </c>
      <c r="N460" t="s">
        <v>61</v>
      </c>
      <c r="O460">
        <v>4.0999999999999996</v>
      </c>
      <c r="P460" t="s">
        <v>64</v>
      </c>
      <c r="Q460">
        <v>2025</v>
      </c>
    </row>
    <row r="461" spans="1:17" hidden="1" x14ac:dyDescent="0.3">
      <c r="A461" t="s">
        <v>40</v>
      </c>
      <c r="B461" t="s">
        <v>938</v>
      </c>
      <c r="C461">
        <v>1367</v>
      </c>
      <c r="D461">
        <v>16</v>
      </c>
      <c r="E461"/>
      <c r="F461">
        <v>64</v>
      </c>
      <c r="G461">
        <v>12</v>
      </c>
      <c r="H461"/>
      <c r="I461">
        <v>4000</v>
      </c>
      <c r="J461">
        <v>5.9</v>
      </c>
      <c r="K461">
        <v>120</v>
      </c>
      <c r="L461" t="s">
        <v>38</v>
      </c>
      <c r="M461" t="s">
        <v>18</v>
      </c>
      <c r="N461" t="s">
        <v>48</v>
      </c>
      <c r="O461">
        <v>4.0999999999999996</v>
      </c>
      <c r="P461" t="s">
        <v>82</v>
      </c>
      <c r="Q461">
        <v>2025</v>
      </c>
    </row>
    <row r="462" spans="1:17" hidden="1" x14ac:dyDescent="0.3">
      <c r="A462" t="s">
        <v>32</v>
      </c>
      <c r="B462" t="s">
        <v>939</v>
      </c>
      <c r="C462">
        <v>275</v>
      </c>
      <c r="D462">
        <v>16</v>
      </c>
      <c r="E462"/>
      <c r="F462">
        <v>256</v>
      </c>
      <c r="G462">
        <v>12</v>
      </c>
      <c r="H462"/>
      <c r="I462">
        <v>6000</v>
      </c>
      <c r="J462">
        <v>7.1</v>
      </c>
      <c r="K462">
        <v>18</v>
      </c>
      <c r="L462" t="s">
        <v>38</v>
      </c>
      <c r="M462" t="s">
        <v>34</v>
      </c>
      <c r="N462" t="s">
        <v>19</v>
      </c>
      <c r="O462">
        <v>4.0999999999999996</v>
      </c>
      <c r="P462" t="s">
        <v>46</v>
      </c>
      <c r="Q462">
        <v>2025</v>
      </c>
    </row>
    <row r="463" spans="1:17" hidden="1" x14ac:dyDescent="0.3">
      <c r="A463" t="s">
        <v>29</v>
      </c>
      <c r="B463" t="s">
        <v>136</v>
      </c>
      <c r="C463">
        <v>300</v>
      </c>
      <c r="D463">
        <v>12</v>
      </c>
      <c r="E463" s="8">
        <f>C463/D463</f>
        <v>25</v>
      </c>
      <c r="F463">
        <v>512</v>
      </c>
      <c r="G463">
        <v>200</v>
      </c>
      <c r="H463" s="8">
        <f>C463/G463</f>
        <v>1.5</v>
      </c>
      <c r="I463">
        <v>5000</v>
      </c>
      <c r="J463">
        <v>7.2</v>
      </c>
      <c r="K463">
        <v>120</v>
      </c>
      <c r="L463" t="s">
        <v>17</v>
      </c>
      <c r="M463" t="s">
        <v>18</v>
      </c>
      <c r="N463" t="s">
        <v>27</v>
      </c>
      <c r="O463">
        <v>4.0999999999999996</v>
      </c>
      <c r="P463" t="s">
        <v>56</v>
      </c>
      <c r="Q463">
        <v>2025</v>
      </c>
    </row>
    <row r="464" spans="1:17" hidden="1" x14ac:dyDescent="0.3">
      <c r="A464" t="s">
        <v>36</v>
      </c>
      <c r="B464" t="s">
        <v>950</v>
      </c>
      <c r="C464">
        <v>163</v>
      </c>
      <c r="D464">
        <v>16</v>
      </c>
      <c r="E464"/>
      <c r="F464">
        <v>256</v>
      </c>
      <c r="G464">
        <v>200</v>
      </c>
      <c r="H464"/>
      <c r="I464">
        <v>6000</v>
      </c>
      <c r="J464">
        <v>6.2</v>
      </c>
      <c r="K464">
        <v>33</v>
      </c>
      <c r="L464" t="s">
        <v>17</v>
      </c>
      <c r="M464" t="s">
        <v>18</v>
      </c>
      <c r="N464" t="s">
        <v>35</v>
      </c>
      <c r="O464">
        <v>4.0999999999999996</v>
      </c>
      <c r="P464" t="s">
        <v>56</v>
      </c>
      <c r="Q464">
        <v>2025</v>
      </c>
    </row>
    <row r="465" spans="1:17" hidden="1" x14ac:dyDescent="0.3">
      <c r="A465" t="s">
        <v>66</v>
      </c>
      <c r="B465" t="s">
        <v>952</v>
      </c>
      <c r="C465">
        <v>789</v>
      </c>
      <c r="D465">
        <v>16</v>
      </c>
      <c r="E465"/>
      <c r="F465">
        <v>512</v>
      </c>
      <c r="G465">
        <v>12</v>
      </c>
      <c r="H465"/>
      <c r="I465">
        <v>5000</v>
      </c>
      <c r="J465">
        <v>5.9</v>
      </c>
      <c r="K465">
        <v>44</v>
      </c>
      <c r="L465" t="s">
        <v>17</v>
      </c>
      <c r="M465" t="s">
        <v>18</v>
      </c>
      <c r="N465" t="s">
        <v>51</v>
      </c>
      <c r="O465">
        <v>4.0999999999999996</v>
      </c>
      <c r="P465" t="s">
        <v>82</v>
      </c>
      <c r="Q465">
        <v>2025</v>
      </c>
    </row>
    <row r="466" spans="1:17" hidden="1" x14ac:dyDescent="0.3">
      <c r="A466" t="s">
        <v>66</v>
      </c>
      <c r="B466" t="s">
        <v>111</v>
      </c>
      <c r="C466">
        <v>892</v>
      </c>
      <c r="D466">
        <v>4</v>
      </c>
      <c r="E466"/>
      <c r="F466">
        <v>1024</v>
      </c>
      <c r="G466">
        <v>64</v>
      </c>
      <c r="H466"/>
      <c r="I466">
        <v>4000</v>
      </c>
      <c r="J466">
        <v>5.8</v>
      </c>
      <c r="K466">
        <v>33</v>
      </c>
      <c r="L466" t="s">
        <v>38</v>
      </c>
      <c r="M466" t="s">
        <v>18</v>
      </c>
      <c r="N466" t="s">
        <v>61</v>
      </c>
      <c r="O466">
        <v>4.2</v>
      </c>
      <c r="P466" t="s">
        <v>24</v>
      </c>
      <c r="Q466">
        <v>2025</v>
      </c>
    </row>
    <row r="467" spans="1:17" hidden="1" x14ac:dyDescent="0.3">
      <c r="A467" t="s">
        <v>21</v>
      </c>
      <c r="B467" t="s">
        <v>147</v>
      </c>
      <c r="C467">
        <v>213</v>
      </c>
      <c r="D467">
        <v>4</v>
      </c>
      <c r="E467"/>
      <c r="F467">
        <v>256</v>
      </c>
      <c r="G467">
        <v>200</v>
      </c>
      <c r="H467"/>
      <c r="I467">
        <v>5500</v>
      </c>
      <c r="J467">
        <v>6.2</v>
      </c>
      <c r="K467">
        <v>120</v>
      </c>
      <c r="L467" t="s">
        <v>17</v>
      </c>
      <c r="M467" t="s">
        <v>18</v>
      </c>
      <c r="N467" t="s">
        <v>19</v>
      </c>
      <c r="O467">
        <v>4.2</v>
      </c>
      <c r="P467" t="s">
        <v>20</v>
      </c>
      <c r="Q467">
        <v>2025</v>
      </c>
    </row>
    <row r="468" spans="1:17" hidden="1" x14ac:dyDescent="0.3">
      <c r="A468" t="s">
        <v>21</v>
      </c>
      <c r="B468" t="s">
        <v>218</v>
      </c>
      <c r="C468">
        <v>818</v>
      </c>
      <c r="D468">
        <v>4</v>
      </c>
      <c r="E468"/>
      <c r="F468">
        <v>512</v>
      </c>
      <c r="G468">
        <v>108</v>
      </c>
      <c r="H468"/>
      <c r="I468">
        <v>4000</v>
      </c>
      <c r="J468">
        <v>6.3</v>
      </c>
      <c r="K468">
        <v>44</v>
      </c>
      <c r="L468" t="s">
        <v>38</v>
      </c>
      <c r="M468" t="s">
        <v>18</v>
      </c>
      <c r="N468" t="s">
        <v>35</v>
      </c>
      <c r="O468">
        <v>4.2</v>
      </c>
      <c r="P468" t="s">
        <v>64</v>
      </c>
      <c r="Q468">
        <v>2025</v>
      </c>
    </row>
    <row r="469" spans="1:17" hidden="1" x14ac:dyDescent="0.3">
      <c r="A469" t="s">
        <v>25</v>
      </c>
      <c r="B469" t="s">
        <v>223</v>
      </c>
      <c r="C469">
        <v>781</v>
      </c>
      <c r="D469">
        <v>4</v>
      </c>
      <c r="E469"/>
      <c r="F469">
        <v>64</v>
      </c>
      <c r="G469">
        <v>12</v>
      </c>
      <c r="H469"/>
      <c r="I469">
        <v>4500</v>
      </c>
      <c r="J469">
        <v>6.5</v>
      </c>
      <c r="K469">
        <v>120</v>
      </c>
      <c r="L469" t="s">
        <v>38</v>
      </c>
      <c r="M469" t="s">
        <v>18</v>
      </c>
      <c r="N469" t="s">
        <v>19</v>
      </c>
      <c r="O469">
        <v>4.2</v>
      </c>
      <c r="P469" t="s">
        <v>54</v>
      </c>
      <c r="Q469">
        <v>2025</v>
      </c>
    </row>
    <row r="470" spans="1:17" hidden="1" x14ac:dyDescent="0.3">
      <c r="A470" t="s">
        <v>32</v>
      </c>
      <c r="B470" t="s">
        <v>239</v>
      </c>
      <c r="C470">
        <v>367</v>
      </c>
      <c r="D470">
        <v>4</v>
      </c>
      <c r="E470"/>
      <c r="F470">
        <v>512</v>
      </c>
      <c r="G470">
        <v>200</v>
      </c>
      <c r="H470"/>
      <c r="I470">
        <v>4500</v>
      </c>
      <c r="J470">
        <v>7.2</v>
      </c>
      <c r="K470">
        <v>65</v>
      </c>
      <c r="L470" t="s">
        <v>38</v>
      </c>
      <c r="M470" t="s">
        <v>34</v>
      </c>
      <c r="N470" t="s">
        <v>35</v>
      </c>
      <c r="O470">
        <v>4.2</v>
      </c>
      <c r="P470" t="s">
        <v>42</v>
      </c>
      <c r="Q470">
        <v>2025</v>
      </c>
    </row>
    <row r="471" spans="1:17" hidden="1" x14ac:dyDescent="0.3">
      <c r="A471" t="s">
        <v>66</v>
      </c>
      <c r="B471" t="s">
        <v>460</v>
      </c>
      <c r="C471">
        <v>684</v>
      </c>
      <c r="D471">
        <v>4</v>
      </c>
      <c r="E471"/>
      <c r="F471">
        <v>256</v>
      </c>
      <c r="G471">
        <v>64</v>
      </c>
      <c r="H471"/>
      <c r="I471">
        <v>5000</v>
      </c>
      <c r="J471">
        <v>7.2</v>
      </c>
      <c r="K471">
        <v>33</v>
      </c>
      <c r="L471" t="s">
        <v>38</v>
      </c>
      <c r="M471" t="s">
        <v>18</v>
      </c>
      <c r="N471" t="s">
        <v>27</v>
      </c>
      <c r="O471">
        <v>4.2</v>
      </c>
      <c r="P471" t="s">
        <v>71</v>
      </c>
      <c r="Q471">
        <v>2025</v>
      </c>
    </row>
    <row r="472" spans="1:17" hidden="1" x14ac:dyDescent="0.3">
      <c r="A472" t="s">
        <v>25</v>
      </c>
      <c r="B472" t="s">
        <v>479</v>
      </c>
      <c r="C472">
        <v>899</v>
      </c>
      <c r="D472">
        <v>4</v>
      </c>
      <c r="E472"/>
      <c r="F472">
        <v>1024</v>
      </c>
      <c r="G472">
        <v>64</v>
      </c>
      <c r="H472"/>
      <c r="I472">
        <v>4500</v>
      </c>
      <c r="J472">
        <v>5.9</v>
      </c>
      <c r="K472">
        <v>18</v>
      </c>
      <c r="L472" t="s">
        <v>17</v>
      </c>
      <c r="M472" t="s">
        <v>18</v>
      </c>
      <c r="N472" t="s">
        <v>35</v>
      </c>
      <c r="O472">
        <v>4.2</v>
      </c>
      <c r="P472" t="s">
        <v>82</v>
      </c>
      <c r="Q472">
        <v>2025</v>
      </c>
    </row>
    <row r="473" spans="1:17" hidden="1" x14ac:dyDescent="0.3">
      <c r="A473" t="s">
        <v>32</v>
      </c>
      <c r="B473" t="s">
        <v>420</v>
      </c>
      <c r="C473">
        <v>1210</v>
      </c>
      <c r="D473">
        <v>16</v>
      </c>
      <c r="E473" s="8">
        <f>C473/D473</f>
        <v>75.625</v>
      </c>
      <c r="F473">
        <v>64</v>
      </c>
      <c r="G473">
        <v>50</v>
      </c>
      <c r="H473" s="8">
        <f>C473/G473</f>
        <v>24.2</v>
      </c>
      <c r="I473">
        <v>5500</v>
      </c>
      <c r="J473">
        <v>6.7</v>
      </c>
      <c r="K473">
        <v>18</v>
      </c>
      <c r="L473" t="s">
        <v>17</v>
      </c>
      <c r="M473" t="s">
        <v>34</v>
      </c>
      <c r="N473" t="s">
        <v>27</v>
      </c>
      <c r="O473">
        <v>4.2</v>
      </c>
      <c r="P473" t="s">
        <v>42</v>
      </c>
      <c r="Q473">
        <v>2025</v>
      </c>
    </row>
    <row r="474" spans="1:17" hidden="1" x14ac:dyDescent="0.3">
      <c r="A474" t="s">
        <v>40</v>
      </c>
      <c r="B474" t="s">
        <v>560</v>
      </c>
      <c r="C474">
        <v>429</v>
      </c>
      <c r="D474">
        <v>4</v>
      </c>
      <c r="E474"/>
      <c r="F474">
        <v>128</v>
      </c>
      <c r="G474">
        <v>108</v>
      </c>
      <c r="H474"/>
      <c r="I474">
        <v>4500</v>
      </c>
      <c r="J474">
        <v>6.9</v>
      </c>
      <c r="K474">
        <v>100</v>
      </c>
      <c r="L474" t="s">
        <v>17</v>
      </c>
      <c r="M474" t="s">
        <v>18</v>
      </c>
      <c r="N474" t="s">
        <v>48</v>
      </c>
      <c r="O474">
        <v>4.2</v>
      </c>
      <c r="P474" t="s">
        <v>20</v>
      </c>
      <c r="Q474">
        <v>2025</v>
      </c>
    </row>
    <row r="475" spans="1:17" hidden="1" x14ac:dyDescent="0.3">
      <c r="A475" t="s">
        <v>66</v>
      </c>
      <c r="B475" t="s">
        <v>576</v>
      </c>
      <c r="C475">
        <v>1278</v>
      </c>
      <c r="D475">
        <v>4</v>
      </c>
      <c r="E475"/>
      <c r="F475">
        <v>1024</v>
      </c>
      <c r="G475">
        <v>64</v>
      </c>
      <c r="H475"/>
      <c r="I475">
        <v>6000</v>
      </c>
      <c r="J475">
        <v>5.5</v>
      </c>
      <c r="K475">
        <v>65</v>
      </c>
      <c r="L475" t="s">
        <v>38</v>
      </c>
      <c r="M475" t="s">
        <v>18</v>
      </c>
      <c r="N475" t="s">
        <v>23</v>
      </c>
      <c r="O475">
        <v>4.2</v>
      </c>
      <c r="P475" t="s">
        <v>56</v>
      </c>
      <c r="Q475">
        <v>2025</v>
      </c>
    </row>
    <row r="476" spans="1:17" hidden="1" x14ac:dyDescent="0.3">
      <c r="A476" t="s">
        <v>36</v>
      </c>
      <c r="B476" t="s">
        <v>618</v>
      </c>
      <c r="C476">
        <v>926</v>
      </c>
      <c r="D476">
        <v>4</v>
      </c>
      <c r="E476"/>
      <c r="F476">
        <v>256</v>
      </c>
      <c r="G476">
        <v>12</v>
      </c>
      <c r="H476"/>
      <c r="I476">
        <v>4500</v>
      </c>
      <c r="J476">
        <v>6.9</v>
      </c>
      <c r="K476">
        <v>44</v>
      </c>
      <c r="L476" t="s">
        <v>38</v>
      </c>
      <c r="M476" t="s">
        <v>18</v>
      </c>
      <c r="N476" t="s">
        <v>31</v>
      </c>
      <c r="O476">
        <v>4.2</v>
      </c>
      <c r="P476" t="s">
        <v>24</v>
      </c>
      <c r="Q476">
        <v>2025</v>
      </c>
    </row>
    <row r="477" spans="1:17" hidden="1" x14ac:dyDescent="0.3">
      <c r="A477" t="s">
        <v>66</v>
      </c>
      <c r="B477" t="s">
        <v>755</v>
      </c>
      <c r="C477">
        <v>889</v>
      </c>
      <c r="D477">
        <v>4</v>
      </c>
      <c r="E477"/>
      <c r="F477">
        <v>1024</v>
      </c>
      <c r="G477">
        <v>50</v>
      </c>
      <c r="H477"/>
      <c r="I477">
        <v>5500</v>
      </c>
      <c r="J477">
        <v>6.5</v>
      </c>
      <c r="K477">
        <v>100</v>
      </c>
      <c r="L477" t="s">
        <v>17</v>
      </c>
      <c r="M477" t="s">
        <v>18</v>
      </c>
      <c r="N477" t="s">
        <v>27</v>
      </c>
      <c r="O477">
        <v>4.2</v>
      </c>
      <c r="P477" t="s">
        <v>42</v>
      </c>
      <c r="Q477">
        <v>2025</v>
      </c>
    </row>
    <row r="478" spans="1:17" hidden="1" x14ac:dyDescent="0.3">
      <c r="A478" t="s">
        <v>66</v>
      </c>
      <c r="B478" t="s">
        <v>807</v>
      </c>
      <c r="C478">
        <v>1357</v>
      </c>
      <c r="D478">
        <v>4</v>
      </c>
      <c r="E478"/>
      <c r="F478">
        <v>128</v>
      </c>
      <c r="G478">
        <v>50</v>
      </c>
      <c r="H478"/>
      <c r="I478">
        <v>5000</v>
      </c>
      <c r="J478">
        <v>6.7</v>
      </c>
      <c r="K478">
        <v>18</v>
      </c>
      <c r="L478" t="s">
        <v>38</v>
      </c>
      <c r="M478" t="s">
        <v>18</v>
      </c>
      <c r="N478" t="s">
        <v>48</v>
      </c>
      <c r="O478">
        <v>4.2</v>
      </c>
      <c r="P478" t="s">
        <v>82</v>
      </c>
      <c r="Q478">
        <v>2025</v>
      </c>
    </row>
    <row r="479" spans="1:17" hidden="1" x14ac:dyDescent="0.3">
      <c r="A479" t="s">
        <v>36</v>
      </c>
      <c r="B479" t="s">
        <v>823</v>
      </c>
      <c r="C479">
        <v>1274</v>
      </c>
      <c r="D479">
        <v>4</v>
      </c>
      <c r="E479"/>
      <c r="F479">
        <v>256</v>
      </c>
      <c r="G479">
        <v>64</v>
      </c>
      <c r="H479"/>
      <c r="I479">
        <v>4000</v>
      </c>
      <c r="J479">
        <v>5.8</v>
      </c>
      <c r="K479">
        <v>120</v>
      </c>
      <c r="L479" t="s">
        <v>38</v>
      </c>
      <c r="M479" t="s">
        <v>18</v>
      </c>
      <c r="N479" t="s">
        <v>51</v>
      </c>
      <c r="O479">
        <v>4.2</v>
      </c>
      <c r="P479" t="s">
        <v>54</v>
      </c>
      <c r="Q479">
        <v>2025</v>
      </c>
    </row>
    <row r="480" spans="1:17" x14ac:dyDescent="0.3">
      <c r="A480" t="s">
        <v>66</v>
      </c>
      <c r="B480" t="s">
        <v>181</v>
      </c>
      <c r="C480">
        <v>406</v>
      </c>
      <c r="D480">
        <v>6</v>
      </c>
      <c r="E480" s="8">
        <f>C480/D480</f>
        <v>67.666666666666671</v>
      </c>
      <c r="F480">
        <v>256</v>
      </c>
      <c r="G480">
        <v>64</v>
      </c>
      <c r="H480" s="8">
        <f>C480/G480</f>
        <v>6.34375</v>
      </c>
      <c r="I480">
        <v>4500</v>
      </c>
      <c r="J480">
        <v>6.7</v>
      </c>
      <c r="K480">
        <v>18</v>
      </c>
      <c r="L480" t="s">
        <v>38</v>
      </c>
      <c r="M480" t="s">
        <v>18</v>
      </c>
      <c r="N480" t="s">
        <v>27</v>
      </c>
      <c r="O480">
        <v>4.2</v>
      </c>
      <c r="P480" t="s">
        <v>39</v>
      </c>
      <c r="Q480">
        <v>2025</v>
      </c>
    </row>
    <row r="481" spans="1:17" hidden="1" x14ac:dyDescent="0.3">
      <c r="A481" t="s">
        <v>15</v>
      </c>
      <c r="B481" t="s">
        <v>847</v>
      </c>
      <c r="C481">
        <v>391</v>
      </c>
      <c r="D481">
        <v>4</v>
      </c>
      <c r="E481"/>
      <c r="F481">
        <v>256</v>
      </c>
      <c r="G481">
        <v>200</v>
      </c>
      <c r="H481"/>
      <c r="I481">
        <v>6000</v>
      </c>
      <c r="J481">
        <v>6.3</v>
      </c>
      <c r="K481">
        <v>18</v>
      </c>
      <c r="L481" t="s">
        <v>17</v>
      </c>
      <c r="M481" t="s">
        <v>18</v>
      </c>
      <c r="N481" t="s">
        <v>23</v>
      </c>
      <c r="O481">
        <v>4.2</v>
      </c>
      <c r="P481" t="s">
        <v>64</v>
      </c>
      <c r="Q481">
        <v>2025</v>
      </c>
    </row>
    <row r="482" spans="1:17" hidden="1" x14ac:dyDescent="0.3">
      <c r="A482" t="s">
        <v>15</v>
      </c>
      <c r="B482" t="s">
        <v>83</v>
      </c>
      <c r="C482">
        <v>1451</v>
      </c>
      <c r="D482">
        <v>6</v>
      </c>
      <c r="E482"/>
      <c r="F482">
        <v>128</v>
      </c>
      <c r="G482">
        <v>200</v>
      </c>
      <c r="H482"/>
      <c r="I482">
        <v>5500</v>
      </c>
      <c r="J482">
        <v>6.9</v>
      </c>
      <c r="K482">
        <v>120</v>
      </c>
      <c r="L482" t="s">
        <v>17</v>
      </c>
      <c r="M482" t="s">
        <v>18</v>
      </c>
      <c r="N482" t="s">
        <v>23</v>
      </c>
      <c r="O482">
        <v>4.2</v>
      </c>
      <c r="P482" t="s">
        <v>82</v>
      </c>
      <c r="Q482">
        <v>2025</v>
      </c>
    </row>
    <row r="483" spans="1:17" hidden="1" x14ac:dyDescent="0.3">
      <c r="A483" t="s">
        <v>36</v>
      </c>
      <c r="B483" t="s">
        <v>671</v>
      </c>
      <c r="C483">
        <v>830</v>
      </c>
      <c r="D483">
        <v>16</v>
      </c>
      <c r="E483" s="8">
        <f t="shared" ref="E483:E485" si="44">C483/D483</f>
        <v>51.875</v>
      </c>
      <c r="F483">
        <v>64</v>
      </c>
      <c r="G483">
        <v>48</v>
      </c>
      <c r="H483" s="8">
        <f t="shared" ref="H483:H485" si="45">C483/G483</f>
        <v>17.291666666666668</v>
      </c>
      <c r="I483">
        <v>6000</v>
      </c>
      <c r="J483">
        <v>5.6</v>
      </c>
      <c r="K483">
        <v>33</v>
      </c>
      <c r="L483" t="s">
        <v>17</v>
      </c>
      <c r="M483" t="s">
        <v>18</v>
      </c>
      <c r="N483" t="s">
        <v>51</v>
      </c>
      <c r="O483">
        <v>4.2</v>
      </c>
      <c r="P483" t="s">
        <v>44</v>
      </c>
      <c r="Q483">
        <v>2025</v>
      </c>
    </row>
    <row r="484" spans="1:17" x14ac:dyDescent="0.3">
      <c r="A484" t="s">
        <v>25</v>
      </c>
      <c r="B484" t="s">
        <v>856</v>
      </c>
      <c r="C484">
        <v>1008</v>
      </c>
      <c r="D484">
        <v>16</v>
      </c>
      <c r="E484" s="8">
        <f t="shared" si="44"/>
        <v>63</v>
      </c>
      <c r="F484">
        <v>64</v>
      </c>
      <c r="G484">
        <v>64</v>
      </c>
      <c r="H484" s="8">
        <f t="shared" si="45"/>
        <v>15.75</v>
      </c>
      <c r="I484">
        <v>5000</v>
      </c>
      <c r="J484">
        <v>5.9</v>
      </c>
      <c r="K484">
        <v>33</v>
      </c>
      <c r="L484" t="s">
        <v>38</v>
      </c>
      <c r="M484" t="s">
        <v>18</v>
      </c>
      <c r="N484" t="s">
        <v>51</v>
      </c>
      <c r="O484">
        <v>4.2</v>
      </c>
      <c r="P484" t="s">
        <v>28</v>
      </c>
      <c r="Q484">
        <v>2025</v>
      </c>
    </row>
    <row r="485" spans="1:17" x14ac:dyDescent="0.3">
      <c r="A485" t="s">
        <v>40</v>
      </c>
      <c r="B485" t="s">
        <v>433</v>
      </c>
      <c r="C485">
        <v>650</v>
      </c>
      <c r="D485">
        <v>12</v>
      </c>
      <c r="E485" s="8">
        <f t="shared" si="44"/>
        <v>54.166666666666664</v>
      </c>
      <c r="F485">
        <v>64</v>
      </c>
      <c r="G485">
        <v>12</v>
      </c>
      <c r="H485" s="8">
        <f t="shared" si="45"/>
        <v>54.166666666666664</v>
      </c>
      <c r="I485">
        <v>5500</v>
      </c>
      <c r="J485">
        <v>6.2</v>
      </c>
      <c r="K485">
        <v>44</v>
      </c>
      <c r="L485" t="s">
        <v>38</v>
      </c>
      <c r="M485" t="s">
        <v>18</v>
      </c>
      <c r="N485" t="s">
        <v>19</v>
      </c>
      <c r="O485">
        <v>4.2</v>
      </c>
      <c r="P485" t="s">
        <v>42</v>
      </c>
      <c r="Q485">
        <v>2025</v>
      </c>
    </row>
    <row r="486" spans="1:17" hidden="1" x14ac:dyDescent="0.3">
      <c r="A486" t="s">
        <v>40</v>
      </c>
      <c r="B486" t="s">
        <v>446</v>
      </c>
      <c r="C486">
        <v>551</v>
      </c>
      <c r="D486">
        <v>6</v>
      </c>
      <c r="E486"/>
      <c r="F486">
        <v>256</v>
      </c>
      <c r="G486">
        <v>50</v>
      </c>
      <c r="H486"/>
      <c r="I486">
        <v>4500</v>
      </c>
      <c r="J486">
        <v>5.6</v>
      </c>
      <c r="K486">
        <v>33</v>
      </c>
      <c r="L486" t="s">
        <v>17</v>
      </c>
      <c r="M486" t="s">
        <v>18</v>
      </c>
      <c r="N486" t="s">
        <v>61</v>
      </c>
      <c r="O486">
        <v>4.2</v>
      </c>
      <c r="P486" t="s">
        <v>64</v>
      </c>
      <c r="Q486">
        <v>2025</v>
      </c>
    </row>
    <row r="487" spans="1:17" hidden="1" x14ac:dyDescent="0.3">
      <c r="A487" t="s">
        <v>25</v>
      </c>
      <c r="B487" t="s">
        <v>907</v>
      </c>
      <c r="C487">
        <v>1150</v>
      </c>
      <c r="D487">
        <v>6</v>
      </c>
      <c r="E487" s="8">
        <f>C487/D487</f>
        <v>191.66666666666666</v>
      </c>
      <c r="F487">
        <v>512</v>
      </c>
      <c r="G487">
        <v>48</v>
      </c>
      <c r="H487" s="8">
        <f>C487/G487</f>
        <v>23.958333333333332</v>
      </c>
      <c r="I487">
        <v>5500</v>
      </c>
      <c r="J487">
        <v>6.5</v>
      </c>
      <c r="K487">
        <v>44</v>
      </c>
      <c r="L487" t="s">
        <v>17</v>
      </c>
      <c r="M487" t="s">
        <v>18</v>
      </c>
      <c r="N487" t="s">
        <v>51</v>
      </c>
      <c r="O487">
        <v>4.2</v>
      </c>
      <c r="P487" t="s">
        <v>28</v>
      </c>
      <c r="Q487">
        <v>2025</v>
      </c>
    </row>
    <row r="488" spans="1:17" hidden="1" x14ac:dyDescent="0.3">
      <c r="A488" t="s">
        <v>66</v>
      </c>
      <c r="B488" t="s">
        <v>614</v>
      </c>
      <c r="C488">
        <v>947</v>
      </c>
      <c r="D488">
        <v>6</v>
      </c>
      <c r="E488"/>
      <c r="F488">
        <v>128</v>
      </c>
      <c r="G488">
        <v>12</v>
      </c>
      <c r="H488"/>
      <c r="I488">
        <v>6000</v>
      </c>
      <c r="J488">
        <v>7.2</v>
      </c>
      <c r="K488">
        <v>120</v>
      </c>
      <c r="L488" t="s">
        <v>38</v>
      </c>
      <c r="M488" t="s">
        <v>18</v>
      </c>
      <c r="N488" t="s">
        <v>31</v>
      </c>
      <c r="O488">
        <v>4.2</v>
      </c>
      <c r="P488" t="s">
        <v>46</v>
      </c>
      <c r="Q488">
        <v>2025</v>
      </c>
    </row>
    <row r="489" spans="1:17" hidden="1" x14ac:dyDescent="0.3">
      <c r="A489" t="s">
        <v>29</v>
      </c>
      <c r="B489" t="s">
        <v>843</v>
      </c>
      <c r="C489">
        <v>804</v>
      </c>
      <c r="D489">
        <v>4</v>
      </c>
      <c r="E489" s="8">
        <f t="shared" ref="E489:E490" si="46">C489/D489</f>
        <v>201</v>
      </c>
      <c r="F489">
        <v>512</v>
      </c>
      <c r="G489">
        <v>64</v>
      </c>
      <c r="H489" s="8">
        <f t="shared" ref="H489:H490" si="47">C489/G489</f>
        <v>12.5625</v>
      </c>
      <c r="I489">
        <v>5000</v>
      </c>
      <c r="J489">
        <v>7</v>
      </c>
      <c r="K489">
        <v>44</v>
      </c>
      <c r="L489" t="s">
        <v>17</v>
      </c>
      <c r="M489" t="s">
        <v>18</v>
      </c>
      <c r="N489" t="s">
        <v>31</v>
      </c>
      <c r="O489">
        <v>4.2</v>
      </c>
      <c r="P489" t="s">
        <v>64</v>
      </c>
      <c r="Q489">
        <v>2025</v>
      </c>
    </row>
    <row r="490" spans="1:17" x14ac:dyDescent="0.3">
      <c r="A490" t="s">
        <v>15</v>
      </c>
      <c r="B490" t="s">
        <v>723</v>
      </c>
      <c r="C490">
        <v>209</v>
      </c>
      <c r="D490">
        <v>16</v>
      </c>
      <c r="E490" s="8">
        <f t="shared" si="46"/>
        <v>13.0625</v>
      </c>
      <c r="F490">
        <v>64</v>
      </c>
      <c r="G490">
        <v>200</v>
      </c>
      <c r="H490" s="8">
        <f t="shared" si="47"/>
        <v>1.0449999999999999</v>
      </c>
      <c r="I490">
        <v>5000</v>
      </c>
      <c r="J490">
        <v>6.1</v>
      </c>
      <c r="K490">
        <v>65</v>
      </c>
      <c r="L490" t="s">
        <v>38</v>
      </c>
      <c r="M490" t="s">
        <v>18</v>
      </c>
      <c r="N490" t="s">
        <v>35</v>
      </c>
      <c r="O490">
        <v>4.2</v>
      </c>
      <c r="P490" t="s">
        <v>56</v>
      </c>
      <c r="Q490">
        <v>2025</v>
      </c>
    </row>
    <row r="491" spans="1:17" hidden="1" x14ac:dyDescent="0.3">
      <c r="A491" t="s">
        <v>21</v>
      </c>
      <c r="B491" t="s">
        <v>887</v>
      </c>
      <c r="C491">
        <v>292</v>
      </c>
      <c r="D491">
        <v>6</v>
      </c>
      <c r="E491"/>
      <c r="F491">
        <v>64</v>
      </c>
      <c r="G491">
        <v>48</v>
      </c>
      <c r="H491"/>
      <c r="I491">
        <v>5000</v>
      </c>
      <c r="J491">
        <v>6.1</v>
      </c>
      <c r="K491">
        <v>100</v>
      </c>
      <c r="L491" t="s">
        <v>38</v>
      </c>
      <c r="M491" t="s">
        <v>18</v>
      </c>
      <c r="N491" t="s">
        <v>23</v>
      </c>
      <c r="O491">
        <v>4.2</v>
      </c>
      <c r="P491" t="s">
        <v>20</v>
      </c>
      <c r="Q491">
        <v>2025</v>
      </c>
    </row>
    <row r="492" spans="1:17" hidden="1" x14ac:dyDescent="0.3">
      <c r="A492" t="s">
        <v>25</v>
      </c>
      <c r="B492" t="s">
        <v>761</v>
      </c>
      <c r="C492">
        <v>1309</v>
      </c>
      <c r="D492">
        <v>12</v>
      </c>
      <c r="E492" s="8">
        <f>C492/D492</f>
        <v>109.08333333333333</v>
      </c>
      <c r="F492">
        <v>256</v>
      </c>
      <c r="G492">
        <v>50</v>
      </c>
      <c r="H492" s="8">
        <f>C492/G492</f>
        <v>26.18</v>
      </c>
      <c r="I492">
        <v>5000</v>
      </c>
      <c r="J492">
        <v>6.4</v>
      </c>
      <c r="K492">
        <v>65</v>
      </c>
      <c r="L492" t="s">
        <v>17</v>
      </c>
      <c r="M492" t="s">
        <v>18</v>
      </c>
      <c r="N492" t="s">
        <v>51</v>
      </c>
      <c r="O492">
        <v>4.2</v>
      </c>
      <c r="P492" t="s">
        <v>54</v>
      </c>
      <c r="Q492">
        <v>2025</v>
      </c>
    </row>
    <row r="493" spans="1:17" hidden="1" x14ac:dyDescent="0.3">
      <c r="A493" t="s">
        <v>36</v>
      </c>
      <c r="B493" t="s">
        <v>62</v>
      </c>
      <c r="C493">
        <v>642</v>
      </c>
      <c r="D493">
        <v>8</v>
      </c>
      <c r="E493"/>
      <c r="F493">
        <v>256</v>
      </c>
      <c r="G493">
        <v>200</v>
      </c>
      <c r="H493"/>
      <c r="I493">
        <v>5500</v>
      </c>
      <c r="J493">
        <v>7.1</v>
      </c>
      <c r="K493">
        <v>33</v>
      </c>
      <c r="L493" t="s">
        <v>38</v>
      </c>
      <c r="M493" t="s">
        <v>18</v>
      </c>
      <c r="N493" t="s">
        <v>31</v>
      </c>
      <c r="O493">
        <v>4.2</v>
      </c>
      <c r="P493" t="s">
        <v>42</v>
      </c>
      <c r="Q493">
        <v>2025</v>
      </c>
    </row>
    <row r="494" spans="1:17" hidden="1" x14ac:dyDescent="0.3">
      <c r="A494" t="s">
        <v>49</v>
      </c>
      <c r="B494" t="s">
        <v>92</v>
      </c>
      <c r="C494">
        <v>1252</v>
      </c>
      <c r="D494">
        <v>8</v>
      </c>
      <c r="E494"/>
      <c r="F494">
        <v>64</v>
      </c>
      <c r="G494">
        <v>50</v>
      </c>
      <c r="H494"/>
      <c r="I494">
        <v>4000</v>
      </c>
      <c r="J494">
        <v>6.9</v>
      </c>
      <c r="K494">
        <v>18</v>
      </c>
      <c r="L494" t="s">
        <v>17</v>
      </c>
      <c r="M494" t="s">
        <v>18</v>
      </c>
      <c r="N494" t="s">
        <v>23</v>
      </c>
      <c r="O494">
        <v>4.2</v>
      </c>
      <c r="P494" t="s">
        <v>28</v>
      </c>
      <c r="Q494">
        <v>2025</v>
      </c>
    </row>
    <row r="495" spans="1:17" hidden="1" x14ac:dyDescent="0.3">
      <c r="A495" t="s">
        <v>21</v>
      </c>
      <c r="B495" t="s">
        <v>117</v>
      </c>
      <c r="C495">
        <v>1229</v>
      </c>
      <c r="D495">
        <v>8</v>
      </c>
      <c r="E495"/>
      <c r="F495">
        <v>1024</v>
      </c>
      <c r="G495">
        <v>64</v>
      </c>
      <c r="H495"/>
      <c r="I495">
        <v>5500</v>
      </c>
      <c r="J495">
        <v>6.4</v>
      </c>
      <c r="K495">
        <v>44</v>
      </c>
      <c r="L495" t="s">
        <v>17</v>
      </c>
      <c r="M495" t="s">
        <v>18</v>
      </c>
      <c r="N495" t="s">
        <v>35</v>
      </c>
      <c r="O495">
        <v>4.2</v>
      </c>
      <c r="P495" t="s">
        <v>24</v>
      </c>
      <c r="Q495">
        <v>2025</v>
      </c>
    </row>
    <row r="496" spans="1:17" hidden="1" x14ac:dyDescent="0.3">
      <c r="A496" t="s">
        <v>36</v>
      </c>
      <c r="B496" t="s">
        <v>306</v>
      </c>
      <c r="C496">
        <v>731</v>
      </c>
      <c r="D496">
        <v>8</v>
      </c>
      <c r="E496"/>
      <c r="F496">
        <v>64</v>
      </c>
      <c r="G496">
        <v>12</v>
      </c>
      <c r="H496"/>
      <c r="I496">
        <v>4000</v>
      </c>
      <c r="J496">
        <v>6.1</v>
      </c>
      <c r="K496">
        <v>44</v>
      </c>
      <c r="L496" t="s">
        <v>17</v>
      </c>
      <c r="M496" t="s">
        <v>18</v>
      </c>
      <c r="N496" t="s">
        <v>61</v>
      </c>
      <c r="O496">
        <v>4.2</v>
      </c>
      <c r="P496" t="s">
        <v>20</v>
      </c>
      <c r="Q496">
        <v>2025</v>
      </c>
    </row>
    <row r="497" spans="1:17" hidden="1" x14ac:dyDescent="0.3">
      <c r="A497" t="s">
        <v>36</v>
      </c>
      <c r="B497" t="s">
        <v>502</v>
      </c>
      <c r="C497">
        <v>148</v>
      </c>
      <c r="D497">
        <v>8</v>
      </c>
      <c r="E497"/>
      <c r="F497">
        <v>1024</v>
      </c>
      <c r="G497">
        <v>200</v>
      </c>
      <c r="H497"/>
      <c r="I497">
        <v>5500</v>
      </c>
      <c r="J497">
        <v>5.7</v>
      </c>
      <c r="K497">
        <v>65</v>
      </c>
      <c r="L497" t="s">
        <v>17</v>
      </c>
      <c r="M497" t="s">
        <v>18</v>
      </c>
      <c r="N497" t="s">
        <v>23</v>
      </c>
      <c r="O497">
        <v>4.2</v>
      </c>
      <c r="P497" t="s">
        <v>71</v>
      </c>
      <c r="Q497">
        <v>2025</v>
      </c>
    </row>
    <row r="498" spans="1:17" hidden="1" x14ac:dyDescent="0.3">
      <c r="A498" t="s">
        <v>25</v>
      </c>
      <c r="B498" t="s">
        <v>691</v>
      </c>
      <c r="C498">
        <v>1277</v>
      </c>
      <c r="D498">
        <v>8</v>
      </c>
      <c r="E498"/>
      <c r="F498">
        <v>64</v>
      </c>
      <c r="G498">
        <v>108</v>
      </c>
      <c r="H498"/>
      <c r="I498">
        <v>5000</v>
      </c>
      <c r="J498">
        <v>7</v>
      </c>
      <c r="K498">
        <v>44</v>
      </c>
      <c r="L498" t="s">
        <v>38</v>
      </c>
      <c r="M498" t="s">
        <v>18</v>
      </c>
      <c r="N498" t="s">
        <v>51</v>
      </c>
      <c r="O498">
        <v>4.2</v>
      </c>
      <c r="P498" t="s">
        <v>46</v>
      </c>
      <c r="Q498">
        <v>2025</v>
      </c>
    </row>
    <row r="499" spans="1:17" hidden="1" x14ac:dyDescent="0.3">
      <c r="A499" t="s">
        <v>21</v>
      </c>
      <c r="B499" t="s">
        <v>161</v>
      </c>
      <c r="C499">
        <v>179</v>
      </c>
      <c r="D499">
        <v>8</v>
      </c>
      <c r="E499"/>
      <c r="F499">
        <v>512</v>
      </c>
      <c r="G499">
        <v>108</v>
      </c>
      <c r="H499"/>
      <c r="I499">
        <v>5500</v>
      </c>
      <c r="J499">
        <v>5.6</v>
      </c>
      <c r="K499">
        <v>44</v>
      </c>
      <c r="L499" t="s">
        <v>17</v>
      </c>
      <c r="M499" t="s">
        <v>18</v>
      </c>
      <c r="N499" t="s">
        <v>51</v>
      </c>
      <c r="O499">
        <v>4.2</v>
      </c>
      <c r="P499" t="s">
        <v>24</v>
      </c>
      <c r="Q499">
        <v>2025</v>
      </c>
    </row>
    <row r="500" spans="1:17" hidden="1" x14ac:dyDescent="0.3">
      <c r="A500" t="s">
        <v>49</v>
      </c>
      <c r="B500" t="s">
        <v>811</v>
      </c>
      <c r="C500">
        <v>1465</v>
      </c>
      <c r="D500">
        <v>8</v>
      </c>
      <c r="E500"/>
      <c r="F500">
        <v>256</v>
      </c>
      <c r="G500">
        <v>50</v>
      </c>
      <c r="H500"/>
      <c r="I500">
        <v>6000</v>
      </c>
      <c r="J500">
        <v>5.5</v>
      </c>
      <c r="K500">
        <v>44</v>
      </c>
      <c r="L500" t="s">
        <v>17</v>
      </c>
      <c r="M500" t="s">
        <v>18</v>
      </c>
      <c r="N500" t="s">
        <v>27</v>
      </c>
      <c r="O500">
        <v>4.2</v>
      </c>
      <c r="P500" t="s">
        <v>46</v>
      </c>
      <c r="Q500">
        <v>2025</v>
      </c>
    </row>
    <row r="501" spans="1:17" hidden="1" x14ac:dyDescent="0.3">
      <c r="A501" t="s">
        <v>29</v>
      </c>
      <c r="B501" t="s">
        <v>928</v>
      </c>
      <c r="C501">
        <v>271</v>
      </c>
      <c r="D501">
        <v>8</v>
      </c>
      <c r="E501"/>
      <c r="F501">
        <v>128</v>
      </c>
      <c r="G501">
        <v>108</v>
      </c>
      <c r="H501"/>
      <c r="I501">
        <v>6000</v>
      </c>
      <c r="J501">
        <v>6.9</v>
      </c>
      <c r="K501">
        <v>65</v>
      </c>
      <c r="L501" t="s">
        <v>17</v>
      </c>
      <c r="M501" t="s">
        <v>18</v>
      </c>
      <c r="N501" t="s">
        <v>23</v>
      </c>
      <c r="O501">
        <v>4.2</v>
      </c>
      <c r="P501" t="s">
        <v>24</v>
      </c>
      <c r="Q501">
        <v>2025</v>
      </c>
    </row>
    <row r="502" spans="1:17" hidden="1" x14ac:dyDescent="0.3">
      <c r="A502" t="s">
        <v>15</v>
      </c>
      <c r="B502" t="s">
        <v>935</v>
      </c>
      <c r="C502">
        <v>135</v>
      </c>
      <c r="D502">
        <v>8</v>
      </c>
      <c r="E502"/>
      <c r="F502">
        <v>256</v>
      </c>
      <c r="G502">
        <v>50</v>
      </c>
      <c r="H502"/>
      <c r="I502">
        <v>5500</v>
      </c>
      <c r="J502">
        <v>6.7</v>
      </c>
      <c r="K502">
        <v>44</v>
      </c>
      <c r="L502" t="s">
        <v>38</v>
      </c>
      <c r="M502" t="s">
        <v>18</v>
      </c>
      <c r="N502" t="s">
        <v>23</v>
      </c>
      <c r="O502">
        <v>4.2</v>
      </c>
      <c r="P502" t="s">
        <v>46</v>
      </c>
      <c r="Q502">
        <v>2025</v>
      </c>
    </row>
    <row r="503" spans="1:17" x14ac:dyDescent="0.3">
      <c r="A503" t="s">
        <v>21</v>
      </c>
      <c r="B503" t="s">
        <v>643</v>
      </c>
      <c r="C503">
        <v>1072</v>
      </c>
      <c r="D503">
        <v>6</v>
      </c>
      <c r="E503" s="8">
        <f>C503/D503</f>
        <v>178.66666666666666</v>
      </c>
      <c r="F503">
        <v>1024</v>
      </c>
      <c r="G503">
        <v>108</v>
      </c>
      <c r="H503" s="8">
        <f>C503/G503</f>
        <v>9.9259259259259256</v>
      </c>
      <c r="I503">
        <v>6000</v>
      </c>
      <c r="J503">
        <v>6.3</v>
      </c>
      <c r="K503">
        <v>100</v>
      </c>
      <c r="L503" t="s">
        <v>38</v>
      </c>
      <c r="M503" t="s">
        <v>18</v>
      </c>
      <c r="N503" t="s">
        <v>23</v>
      </c>
      <c r="O503">
        <v>4.2</v>
      </c>
      <c r="P503" t="s">
        <v>28</v>
      </c>
      <c r="Q503">
        <v>2025</v>
      </c>
    </row>
    <row r="504" spans="1:17" hidden="1" x14ac:dyDescent="0.3">
      <c r="A504" t="s">
        <v>49</v>
      </c>
      <c r="B504" t="s">
        <v>201</v>
      </c>
      <c r="C504">
        <v>793</v>
      </c>
      <c r="D504">
        <v>12</v>
      </c>
      <c r="E504"/>
      <c r="F504">
        <v>128</v>
      </c>
      <c r="G504">
        <v>50</v>
      </c>
      <c r="H504"/>
      <c r="I504">
        <v>5500</v>
      </c>
      <c r="J504">
        <v>6.4</v>
      </c>
      <c r="K504">
        <v>44</v>
      </c>
      <c r="L504" t="s">
        <v>17</v>
      </c>
      <c r="M504" t="s">
        <v>18</v>
      </c>
      <c r="N504" t="s">
        <v>23</v>
      </c>
      <c r="O504">
        <v>4.2</v>
      </c>
      <c r="P504" t="s">
        <v>56</v>
      </c>
      <c r="Q504">
        <v>2025</v>
      </c>
    </row>
    <row r="505" spans="1:17" hidden="1" x14ac:dyDescent="0.3">
      <c r="A505" t="s">
        <v>32</v>
      </c>
      <c r="B505" t="s">
        <v>208</v>
      </c>
      <c r="C505">
        <v>348</v>
      </c>
      <c r="D505">
        <v>12</v>
      </c>
      <c r="E505"/>
      <c r="F505">
        <v>1024</v>
      </c>
      <c r="G505">
        <v>108</v>
      </c>
      <c r="H505"/>
      <c r="I505">
        <v>6000</v>
      </c>
      <c r="J505">
        <v>6.4</v>
      </c>
      <c r="K505">
        <v>100</v>
      </c>
      <c r="L505" t="s">
        <v>38</v>
      </c>
      <c r="M505" t="s">
        <v>34</v>
      </c>
      <c r="N505" t="s">
        <v>51</v>
      </c>
      <c r="O505">
        <v>4.2</v>
      </c>
      <c r="P505" t="s">
        <v>42</v>
      </c>
      <c r="Q505">
        <v>2025</v>
      </c>
    </row>
    <row r="506" spans="1:17" hidden="1" x14ac:dyDescent="0.3">
      <c r="A506" t="s">
        <v>32</v>
      </c>
      <c r="B506" t="s">
        <v>209</v>
      </c>
      <c r="C506">
        <v>1129</v>
      </c>
      <c r="D506">
        <v>12</v>
      </c>
      <c r="E506"/>
      <c r="F506">
        <v>512</v>
      </c>
      <c r="G506">
        <v>64</v>
      </c>
      <c r="H506"/>
      <c r="I506">
        <v>4500</v>
      </c>
      <c r="J506">
        <v>7.2</v>
      </c>
      <c r="K506">
        <v>65</v>
      </c>
      <c r="L506" t="s">
        <v>38</v>
      </c>
      <c r="M506" t="s">
        <v>34</v>
      </c>
      <c r="N506" t="s">
        <v>31</v>
      </c>
      <c r="O506">
        <v>4.2</v>
      </c>
      <c r="P506" t="s">
        <v>24</v>
      </c>
      <c r="Q506">
        <v>2025</v>
      </c>
    </row>
    <row r="507" spans="1:17" x14ac:dyDescent="0.3">
      <c r="A507" t="s">
        <v>25</v>
      </c>
      <c r="B507" t="s">
        <v>669</v>
      </c>
      <c r="C507">
        <v>230</v>
      </c>
      <c r="D507">
        <v>6</v>
      </c>
      <c r="E507" s="8">
        <f t="shared" ref="E507:E509" si="48">C507/D507</f>
        <v>38.333333333333336</v>
      </c>
      <c r="F507">
        <v>1024</v>
      </c>
      <c r="G507">
        <v>64</v>
      </c>
      <c r="H507" s="8">
        <f t="shared" ref="H507:H509" si="49">C507/G507</f>
        <v>3.59375</v>
      </c>
      <c r="I507">
        <v>4000</v>
      </c>
      <c r="J507">
        <v>7</v>
      </c>
      <c r="K507">
        <v>100</v>
      </c>
      <c r="L507" t="s">
        <v>38</v>
      </c>
      <c r="M507" t="s">
        <v>18</v>
      </c>
      <c r="N507" t="s">
        <v>31</v>
      </c>
      <c r="O507">
        <v>4.2</v>
      </c>
      <c r="P507" t="s">
        <v>39</v>
      </c>
      <c r="Q507">
        <v>2025</v>
      </c>
    </row>
    <row r="508" spans="1:17" x14ac:dyDescent="0.3">
      <c r="A508" t="s">
        <v>21</v>
      </c>
      <c r="B508" t="s">
        <v>119</v>
      </c>
      <c r="C508">
        <v>1047</v>
      </c>
      <c r="D508">
        <v>12</v>
      </c>
      <c r="E508" s="8">
        <f t="shared" si="48"/>
        <v>87.25</v>
      </c>
      <c r="F508">
        <v>1024</v>
      </c>
      <c r="G508">
        <v>48</v>
      </c>
      <c r="H508" s="8">
        <f t="shared" si="49"/>
        <v>21.8125</v>
      </c>
      <c r="I508">
        <v>4000</v>
      </c>
      <c r="J508">
        <v>7.1</v>
      </c>
      <c r="K508">
        <v>100</v>
      </c>
      <c r="L508" t="s">
        <v>38</v>
      </c>
      <c r="M508" t="s">
        <v>18</v>
      </c>
      <c r="N508" t="s">
        <v>19</v>
      </c>
      <c r="O508">
        <v>4.2</v>
      </c>
      <c r="P508" t="s">
        <v>46</v>
      </c>
      <c r="Q508">
        <v>2025</v>
      </c>
    </row>
    <row r="509" spans="1:17" x14ac:dyDescent="0.3">
      <c r="A509" t="s">
        <v>15</v>
      </c>
      <c r="B509" t="s">
        <v>1015</v>
      </c>
      <c r="C509">
        <v>350</v>
      </c>
      <c r="D509">
        <v>16</v>
      </c>
      <c r="E509" s="8">
        <f t="shared" si="48"/>
        <v>21.875</v>
      </c>
      <c r="F509">
        <v>1024</v>
      </c>
      <c r="G509">
        <v>12</v>
      </c>
      <c r="H509" s="8">
        <f t="shared" si="49"/>
        <v>29.166666666666668</v>
      </c>
      <c r="I509">
        <v>6000</v>
      </c>
      <c r="J509">
        <v>5.7</v>
      </c>
      <c r="K509">
        <v>120</v>
      </c>
      <c r="L509" t="s">
        <v>38</v>
      </c>
      <c r="M509" t="s">
        <v>18</v>
      </c>
      <c r="N509" t="s">
        <v>61</v>
      </c>
      <c r="O509">
        <v>4.2</v>
      </c>
      <c r="P509" t="s">
        <v>54</v>
      </c>
      <c r="Q509">
        <v>2025</v>
      </c>
    </row>
    <row r="510" spans="1:17" hidden="1" x14ac:dyDescent="0.3">
      <c r="A510" t="s">
        <v>32</v>
      </c>
      <c r="B510" t="s">
        <v>812</v>
      </c>
      <c r="C510">
        <v>266</v>
      </c>
      <c r="D510">
        <v>12</v>
      </c>
      <c r="E510"/>
      <c r="F510">
        <v>512</v>
      </c>
      <c r="G510">
        <v>12</v>
      </c>
      <c r="H510"/>
      <c r="I510">
        <v>5500</v>
      </c>
      <c r="J510">
        <v>7.2</v>
      </c>
      <c r="K510">
        <v>44</v>
      </c>
      <c r="L510" t="s">
        <v>38</v>
      </c>
      <c r="M510" t="s">
        <v>34</v>
      </c>
      <c r="N510" t="s">
        <v>35</v>
      </c>
      <c r="O510">
        <v>4.2</v>
      </c>
      <c r="P510" t="s">
        <v>44</v>
      </c>
      <c r="Q510">
        <v>2025</v>
      </c>
    </row>
    <row r="511" spans="1:17" hidden="1" x14ac:dyDescent="0.3">
      <c r="A511" t="s">
        <v>25</v>
      </c>
      <c r="B511" t="s">
        <v>918</v>
      </c>
      <c r="C511">
        <v>835</v>
      </c>
      <c r="D511">
        <v>12</v>
      </c>
      <c r="E511"/>
      <c r="F511">
        <v>256</v>
      </c>
      <c r="G511">
        <v>48</v>
      </c>
      <c r="H511"/>
      <c r="I511">
        <v>4000</v>
      </c>
      <c r="J511">
        <v>7</v>
      </c>
      <c r="K511">
        <v>100</v>
      </c>
      <c r="L511" t="s">
        <v>17</v>
      </c>
      <c r="M511" t="s">
        <v>18</v>
      </c>
      <c r="N511" t="s">
        <v>51</v>
      </c>
      <c r="O511">
        <v>4.2</v>
      </c>
      <c r="P511" t="s">
        <v>71</v>
      </c>
      <c r="Q511">
        <v>2025</v>
      </c>
    </row>
    <row r="512" spans="1:17" hidden="1" x14ac:dyDescent="0.3">
      <c r="A512" t="s">
        <v>40</v>
      </c>
      <c r="B512" t="s">
        <v>997</v>
      </c>
      <c r="C512">
        <v>768</v>
      </c>
      <c r="D512">
        <v>12</v>
      </c>
      <c r="E512"/>
      <c r="F512">
        <v>1024</v>
      </c>
      <c r="G512">
        <v>12</v>
      </c>
      <c r="H512"/>
      <c r="I512">
        <v>4500</v>
      </c>
      <c r="J512">
        <v>6.2</v>
      </c>
      <c r="K512">
        <v>44</v>
      </c>
      <c r="L512" t="s">
        <v>17</v>
      </c>
      <c r="M512" t="s">
        <v>18</v>
      </c>
      <c r="N512" t="s">
        <v>48</v>
      </c>
      <c r="O512">
        <v>4.2</v>
      </c>
      <c r="P512" t="s">
        <v>39</v>
      </c>
      <c r="Q512">
        <v>2025</v>
      </c>
    </row>
    <row r="513" spans="1:17" hidden="1" x14ac:dyDescent="0.3">
      <c r="A513" t="s">
        <v>66</v>
      </c>
      <c r="B513" t="s">
        <v>413</v>
      </c>
      <c r="C513">
        <v>445</v>
      </c>
      <c r="D513">
        <v>16</v>
      </c>
      <c r="E513"/>
      <c r="F513">
        <v>256</v>
      </c>
      <c r="G513">
        <v>50</v>
      </c>
      <c r="H513"/>
      <c r="I513">
        <v>4000</v>
      </c>
      <c r="J513">
        <v>6.1</v>
      </c>
      <c r="K513">
        <v>33</v>
      </c>
      <c r="L513" t="s">
        <v>38</v>
      </c>
      <c r="M513" t="s">
        <v>18</v>
      </c>
      <c r="N513" t="s">
        <v>51</v>
      </c>
      <c r="O513">
        <v>4.2</v>
      </c>
      <c r="P513" t="s">
        <v>44</v>
      </c>
      <c r="Q513">
        <v>2025</v>
      </c>
    </row>
    <row r="514" spans="1:17" x14ac:dyDescent="0.3">
      <c r="A514" t="s">
        <v>36</v>
      </c>
      <c r="B514" t="s">
        <v>493</v>
      </c>
      <c r="C514">
        <v>901</v>
      </c>
      <c r="D514">
        <v>6</v>
      </c>
      <c r="E514" s="8">
        <f>C514/D514</f>
        <v>150.16666666666666</v>
      </c>
      <c r="F514">
        <v>64</v>
      </c>
      <c r="G514">
        <v>48</v>
      </c>
      <c r="H514" s="8">
        <f>C514/G514</f>
        <v>18.770833333333332</v>
      </c>
      <c r="I514">
        <v>4000</v>
      </c>
      <c r="J514">
        <v>5.7</v>
      </c>
      <c r="K514">
        <v>120</v>
      </c>
      <c r="L514" t="s">
        <v>38</v>
      </c>
      <c r="M514" t="s">
        <v>18</v>
      </c>
      <c r="N514" t="s">
        <v>23</v>
      </c>
      <c r="O514">
        <v>4.2</v>
      </c>
      <c r="P514" t="s">
        <v>44</v>
      </c>
      <c r="Q514">
        <v>2025</v>
      </c>
    </row>
    <row r="515" spans="1:17" hidden="1" x14ac:dyDescent="0.3">
      <c r="A515" t="s">
        <v>29</v>
      </c>
      <c r="B515" t="s">
        <v>447</v>
      </c>
      <c r="C515">
        <v>416</v>
      </c>
      <c r="D515">
        <v>16</v>
      </c>
      <c r="E515"/>
      <c r="F515">
        <v>128</v>
      </c>
      <c r="G515">
        <v>48</v>
      </c>
      <c r="H515"/>
      <c r="I515">
        <v>5500</v>
      </c>
      <c r="J515">
        <v>6.1</v>
      </c>
      <c r="K515">
        <v>120</v>
      </c>
      <c r="L515" t="s">
        <v>38</v>
      </c>
      <c r="M515" t="s">
        <v>18</v>
      </c>
      <c r="N515" t="s">
        <v>23</v>
      </c>
      <c r="O515">
        <v>4.2</v>
      </c>
      <c r="P515" t="s">
        <v>54</v>
      </c>
      <c r="Q515">
        <v>2025</v>
      </c>
    </row>
    <row r="516" spans="1:17" hidden="1" x14ac:dyDescent="0.3">
      <c r="A516" t="s">
        <v>29</v>
      </c>
      <c r="B516" t="s">
        <v>700</v>
      </c>
      <c r="C516">
        <v>1210</v>
      </c>
      <c r="D516">
        <v>12</v>
      </c>
      <c r="E516" s="8">
        <f t="shared" ref="E516:E517" si="50">C516/D516</f>
        <v>100.83333333333333</v>
      </c>
      <c r="F516">
        <v>512</v>
      </c>
      <c r="G516">
        <v>108</v>
      </c>
      <c r="H516" s="8">
        <f t="shared" ref="H516:H517" si="51">C516/G516</f>
        <v>11.203703703703704</v>
      </c>
      <c r="I516">
        <v>5500</v>
      </c>
      <c r="J516">
        <v>5.9</v>
      </c>
      <c r="K516">
        <v>120</v>
      </c>
      <c r="L516" t="s">
        <v>17</v>
      </c>
      <c r="M516" t="s">
        <v>18</v>
      </c>
      <c r="N516" t="s">
        <v>51</v>
      </c>
      <c r="O516">
        <v>4.2</v>
      </c>
      <c r="P516" t="s">
        <v>56</v>
      </c>
      <c r="Q516">
        <v>2025</v>
      </c>
    </row>
    <row r="517" spans="1:17" x14ac:dyDescent="0.3">
      <c r="A517" t="s">
        <v>29</v>
      </c>
      <c r="B517" t="s">
        <v>426</v>
      </c>
      <c r="C517">
        <v>701</v>
      </c>
      <c r="D517">
        <v>6</v>
      </c>
      <c r="E517" s="8">
        <f t="shared" si="50"/>
        <v>116.83333333333333</v>
      </c>
      <c r="F517">
        <v>128</v>
      </c>
      <c r="G517">
        <v>108</v>
      </c>
      <c r="H517" s="8">
        <f t="shared" si="51"/>
        <v>6.4907407407407405</v>
      </c>
      <c r="I517">
        <v>4000</v>
      </c>
      <c r="J517">
        <v>6.4</v>
      </c>
      <c r="K517">
        <v>120</v>
      </c>
      <c r="L517" t="s">
        <v>38</v>
      </c>
      <c r="M517" t="s">
        <v>18</v>
      </c>
      <c r="N517" t="s">
        <v>51</v>
      </c>
      <c r="O517">
        <v>4.2</v>
      </c>
      <c r="P517" t="s">
        <v>71</v>
      </c>
      <c r="Q517">
        <v>2025</v>
      </c>
    </row>
    <row r="518" spans="1:17" hidden="1" x14ac:dyDescent="0.3">
      <c r="A518" t="s">
        <v>21</v>
      </c>
      <c r="B518" t="s">
        <v>756</v>
      </c>
      <c r="C518">
        <v>881</v>
      </c>
      <c r="D518">
        <v>16</v>
      </c>
      <c r="E518"/>
      <c r="F518">
        <v>64</v>
      </c>
      <c r="G518">
        <v>200</v>
      </c>
      <c r="H518"/>
      <c r="I518">
        <v>6000</v>
      </c>
      <c r="J518">
        <v>5.7</v>
      </c>
      <c r="K518">
        <v>18</v>
      </c>
      <c r="L518" t="s">
        <v>38</v>
      </c>
      <c r="M518" t="s">
        <v>18</v>
      </c>
      <c r="N518" t="s">
        <v>31</v>
      </c>
      <c r="O518">
        <v>4.2</v>
      </c>
      <c r="P518" t="s">
        <v>46</v>
      </c>
      <c r="Q518">
        <v>2025</v>
      </c>
    </row>
    <row r="519" spans="1:17" x14ac:dyDescent="0.3">
      <c r="A519" t="s">
        <v>15</v>
      </c>
      <c r="B519" t="s">
        <v>349</v>
      </c>
      <c r="C519">
        <v>1107</v>
      </c>
      <c r="D519">
        <v>6</v>
      </c>
      <c r="E519" s="8">
        <f>C519/D519</f>
        <v>184.5</v>
      </c>
      <c r="F519">
        <v>1024</v>
      </c>
      <c r="G519">
        <v>48</v>
      </c>
      <c r="H519" s="8">
        <f>C519/G519</f>
        <v>23.0625</v>
      </c>
      <c r="I519">
        <v>5000</v>
      </c>
      <c r="J519">
        <v>6.8</v>
      </c>
      <c r="K519">
        <v>120</v>
      </c>
      <c r="L519" t="s">
        <v>38</v>
      </c>
      <c r="M519" t="s">
        <v>18</v>
      </c>
      <c r="N519" t="s">
        <v>51</v>
      </c>
      <c r="O519">
        <v>4.2</v>
      </c>
      <c r="P519" t="s">
        <v>24</v>
      </c>
      <c r="Q519">
        <v>2025</v>
      </c>
    </row>
    <row r="520" spans="1:17" hidden="1" x14ac:dyDescent="0.3">
      <c r="A520" t="s">
        <v>21</v>
      </c>
      <c r="B520" t="s">
        <v>866</v>
      </c>
      <c r="C520">
        <v>1154</v>
      </c>
      <c r="D520">
        <v>16</v>
      </c>
      <c r="E520"/>
      <c r="F520">
        <v>512</v>
      </c>
      <c r="G520">
        <v>200</v>
      </c>
      <c r="H520"/>
      <c r="I520">
        <v>6000</v>
      </c>
      <c r="J520">
        <v>5.9</v>
      </c>
      <c r="K520">
        <v>44</v>
      </c>
      <c r="L520" t="s">
        <v>17</v>
      </c>
      <c r="M520" t="s">
        <v>18</v>
      </c>
      <c r="N520" t="s">
        <v>48</v>
      </c>
      <c r="O520">
        <v>4.2</v>
      </c>
      <c r="P520" t="s">
        <v>46</v>
      </c>
      <c r="Q520">
        <v>2025</v>
      </c>
    </row>
    <row r="521" spans="1:17" hidden="1" x14ac:dyDescent="0.3">
      <c r="A521" t="s">
        <v>49</v>
      </c>
      <c r="B521" t="s">
        <v>969</v>
      </c>
      <c r="C521">
        <v>769</v>
      </c>
      <c r="D521">
        <v>16</v>
      </c>
      <c r="E521"/>
      <c r="F521">
        <v>512</v>
      </c>
      <c r="G521">
        <v>200</v>
      </c>
      <c r="H521"/>
      <c r="I521">
        <v>5500</v>
      </c>
      <c r="J521">
        <v>6.7</v>
      </c>
      <c r="K521">
        <v>100</v>
      </c>
      <c r="L521" t="s">
        <v>38</v>
      </c>
      <c r="M521" t="s">
        <v>18</v>
      </c>
      <c r="N521" t="s">
        <v>23</v>
      </c>
      <c r="O521">
        <v>4.2</v>
      </c>
      <c r="P521" t="s">
        <v>64</v>
      </c>
      <c r="Q521">
        <v>2025</v>
      </c>
    </row>
    <row r="522" spans="1:17" hidden="1" x14ac:dyDescent="0.3">
      <c r="A522" t="s">
        <v>25</v>
      </c>
      <c r="B522" t="s">
        <v>514</v>
      </c>
      <c r="C522">
        <v>320</v>
      </c>
      <c r="D522">
        <v>4</v>
      </c>
      <c r="E522" s="8">
        <f>C522/D522</f>
        <v>80</v>
      </c>
      <c r="F522">
        <v>128</v>
      </c>
      <c r="G522">
        <v>108</v>
      </c>
      <c r="H522" s="8">
        <f>C522/G522</f>
        <v>2.9629629629629628</v>
      </c>
      <c r="I522">
        <v>6000</v>
      </c>
      <c r="J522">
        <v>6.9</v>
      </c>
      <c r="K522">
        <v>120</v>
      </c>
      <c r="L522" t="s">
        <v>17</v>
      </c>
      <c r="M522" t="s">
        <v>18</v>
      </c>
      <c r="N522" t="s">
        <v>35</v>
      </c>
      <c r="O522">
        <v>4.2</v>
      </c>
      <c r="P522" t="s">
        <v>42</v>
      </c>
      <c r="Q522">
        <v>2025</v>
      </c>
    </row>
    <row r="523" spans="1:17" hidden="1" x14ac:dyDescent="0.3">
      <c r="A523" t="s">
        <v>29</v>
      </c>
      <c r="B523" t="s">
        <v>1023</v>
      </c>
      <c r="C523">
        <v>1328</v>
      </c>
      <c r="D523">
        <v>16</v>
      </c>
      <c r="E523"/>
      <c r="F523">
        <v>256</v>
      </c>
      <c r="G523">
        <v>12</v>
      </c>
      <c r="H523"/>
      <c r="I523">
        <v>6000</v>
      </c>
      <c r="J523">
        <v>5.7</v>
      </c>
      <c r="K523">
        <v>18</v>
      </c>
      <c r="L523" t="s">
        <v>38</v>
      </c>
      <c r="M523" t="s">
        <v>18</v>
      </c>
      <c r="N523" t="s">
        <v>51</v>
      </c>
      <c r="O523">
        <v>4.2</v>
      </c>
      <c r="P523" t="s">
        <v>42</v>
      </c>
      <c r="Q523">
        <v>2025</v>
      </c>
    </row>
    <row r="524" spans="1:17" hidden="1" x14ac:dyDescent="0.3">
      <c r="A524" t="s">
        <v>66</v>
      </c>
      <c r="B524" t="s">
        <v>89</v>
      </c>
      <c r="C524">
        <v>1190</v>
      </c>
      <c r="D524">
        <v>4</v>
      </c>
      <c r="E524" s="8">
        <f>C524/D524</f>
        <v>297.5</v>
      </c>
      <c r="F524">
        <v>256</v>
      </c>
      <c r="G524">
        <v>12</v>
      </c>
      <c r="H524" s="8">
        <f>C524/G524</f>
        <v>99.166666666666671</v>
      </c>
      <c r="I524">
        <v>6000</v>
      </c>
      <c r="J524">
        <v>6.1</v>
      </c>
      <c r="K524">
        <v>18</v>
      </c>
      <c r="L524" t="s">
        <v>17</v>
      </c>
      <c r="M524" t="s">
        <v>18</v>
      </c>
      <c r="N524" t="s">
        <v>19</v>
      </c>
      <c r="O524">
        <v>4.3</v>
      </c>
      <c r="P524" t="s">
        <v>56</v>
      </c>
      <c r="Q524">
        <v>2025</v>
      </c>
    </row>
    <row r="525" spans="1:17" hidden="1" x14ac:dyDescent="0.3">
      <c r="A525" t="s">
        <v>21</v>
      </c>
      <c r="B525" t="s">
        <v>115</v>
      </c>
      <c r="C525">
        <v>212</v>
      </c>
      <c r="D525">
        <v>4</v>
      </c>
      <c r="E525"/>
      <c r="F525">
        <v>512</v>
      </c>
      <c r="G525">
        <v>108</v>
      </c>
      <c r="H525"/>
      <c r="I525">
        <v>6000</v>
      </c>
      <c r="J525">
        <v>7.1</v>
      </c>
      <c r="K525">
        <v>44</v>
      </c>
      <c r="L525" t="s">
        <v>38</v>
      </c>
      <c r="M525" t="s">
        <v>18</v>
      </c>
      <c r="N525" t="s">
        <v>31</v>
      </c>
      <c r="O525">
        <v>4.3</v>
      </c>
      <c r="P525" t="s">
        <v>56</v>
      </c>
      <c r="Q525">
        <v>2025</v>
      </c>
    </row>
    <row r="526" spans="1:17" hidden="1" x14ac:dyDescent="0.3">
      <c r="A526" t="s">
        <v>66</v>
      </c>
      <c r="B526" t="s">
        <v>225</v>
      </c>
      <c r="C526">
        <v>1437</v>
      </c>
      <c r="D526">
        <v>4</v>
      </c>
      <c r="E526"/>
      <c r="F526">
        <v>256</v>
      </c>
      <c r="G526">
        <v>48</v>
      </c>
      <c r="H526"/>
      <c r="I526">
        <v>5000</v>
      </c>
      <c r="J526">
        <v>6.6</v>
      </c>
      <c r="K526">
        <v>120</v>
      </c>
      <c r="L526" t="s">
        <v>17</v>
      </c>
      <c r="M526" t="s">
        <v>18</v>
      </c>
      <c r="N526" t="s">
        <v>19</v>
      </c>
      <c r="O526">
        <v>4.3</v>
      </c>
      <c r="P526" t="s">
        <v>82</v>
      </c>
      <c r="Q526">
        <v>2025</v>
      </c>
    </row>
    <row r="527" spans="1:17" hidden="1" x14ac:dyDescent="0.3">
      <c r="A527" t="s">
        <v>29</v>
      </c>
      <c r="B527" t="s">
        <v>232</v>
      </c>
      <c r="C527">
        <v>1137</v>
      </c>
      <c r="D527">
        <v>4</v>
      </c>
      <c r="E527"/>
      <c r="F527">
        <v>64</v>
      </c>
      <c r="G527">
        <v>12</v>
      </c>
      <c r="H527"/>
      <c r="I527">
        <v>6000</v>
      </c>
      <c r="J527">
        <v>6.1</v>
      </c>
      <c r="K527">
        <v>100</v>
      </c>
      <c r="L527" t="s">
        <v>17</v>
      </c>
      <c r="M527" t="s">
        <v>18</v>
      </c>
      <c r="N527" t="s">
        <v>61</v>
      </c>
      <c r="O527">
        <v>4.3</v>
      </c>
      <c r="P527" t="s">
        <v>20</v>
      </c>
      <c r="Q527">
        <v>2025</v>
      </c>
    </row>
    <row r="528" spans="1:17" hidden="1" x14ac:dyDescent="0.3">
      <c r="A528" t="s">
        <v>25</v>
      </c>
      <c r="B528" t="s">
        <v>253</v>
      </c>
      <c r="C528">
        <v>328</v>
      </c>
      <c r="D528">
        <v>4</v>
      </c>
      <c r="E528"/>
      <c r="F528">
        <v>512</v>
      </c>
      <c r="G528">
        <v>108</v>
      </c>
      <c r="H528"/>
      <c r="I528">
        <v>5500</v>
      </c>
      <c r="J528">
        <v>5.9</v>
      </c>
      <c r="K528">
        <v>100</v>
      </c>
      <c r="L528" t="s">
        <v>17</v>
      </c>
      <c r="M528" t="s">
        <v>18</v>
      </c>
      <c r="N528" t="s">
        <v>48</v>
      </c>
      <c r="O528">
        <v>4.3</v>
      </c>
      <c r="P528" t="s">
        <v>64</v>
      </c>
      <c r="Q528">
        <v>2025</v>
      </c>
    </row>
    <row r="529" spans="1:17" hidden="1" x14ac:dyDescent="0.3">
      <c r="A529" t="s">
        <v>49</v>
      </c>
      <c r="B529" t="s">
        <v>354</v>
      </c>
      <c r="C529">
        <v>792</v>
      </c>
      <c r="D529">
        <v>4</v>
      </c>
      <c r="E529"/>
      <c r="F529">
        <v>256</v>
      </c>
      <c r="G529">
        <v>48</v>
      </c>
      <c r="H529"/>
      <c r="I529">
        <v>4000</v>
      </c>
      <c r="J529">
        <v>7.1</v>
      </c>
      <c r="K529">
        <v>18</v>
      </c>
      <c r="L529" t="s">
        <v>38</v>
      </c>
      <c r="M529" t="s">
        <v>18</v>
      </c>
      <c r="N529" t="s">
        <v>19</v>
      </c>
      <c r="O529">
        <v>4.3</v>
      </c>
      <c r="P529" t="s">
        <v>64</v>
      </c>
      <c r="Q529">
        <v>2025</v>
      </c>
    </row>
    <row r="530" spans="1:17" hidden="1" x14ac:dyDescent="0.3">
      <c r="A530" t="s">
        <v>29</v>
      </c>
      <c r="B530" t="s">
        <v>478</v>
      </c>
      <c r="C530">
        <v>654</v>
      </c>
      <c r="D530">
        <v>4</v>
      </c>
      <c r="E530"/>
      <c r="F530">
        <v>512</v>
      </c>
      <c r="G530">
        <v>12</v>
      </c>
      <c r="H530"/>
      <c r="I530">
        <v>6000</v>
      </c>
      <c r="J530">
        <v>7</v>
      </c>
      <c r="K530">
        <v>120</v>
      </c>
      <c r="L530" t="s">
        <v>38</v>
      </c>
      <c r="M530" t="s">
        <v>18</v>
      </c>
      <c r="N530" t="s">
        <v>23</v>
      </c>
      <c r="O530">
        <v>4.3</v>
      </c>
      <c r="P530" t="s">
        <v>64</v>
      </c>
      <c r="Q530">
        <v>2025</v>
      </c>
    </row>
    <row r="531" spans="1:17" hidden="1" x14ac:dyDescent="0.3">
      <c r="A531" t="s">
        <v>29</v>
      </c>
      <c r="B531" t="s">
        <v>572</v>
      </c>
      <c r="C531">
        <v>497</v>
      </c>
      <c r="D531">
        <v>4</v>
      </c>
      <c r="E531"/>
      <c r="F531">
        <v>128</v>
      </c>
      <c r="G531">
        <v>12</v>
      </c>
      <c r="H531"/>
      <c r="I531">
        <v>4000</v>
      </c>
      <c r="J531">
        <v>6.5</v>
      </c>
      <c r="K531">
        <v>65</v>
      </c>
      <c r="L531" t="s">
        <v>38</v>
      </c>
      <c r="M531" t="s">
        <v>18</v>
      </c>
      <c r="N531" t="s">
        <v>35</v>
      </c>
      <c r="O531">
        <v>4.3</v>
      </c>
      <c r="P531" t="s">
        <v>82</v>
      </c>
      <c r="Q531">
        <v>2025</v>
      </c>
    </row>
    <row r="532" spans="1:17" hidden="1" x14ac:dyDescent="0.3">
      <c r="A532" t="s">
        <v>66</v>
      </c>
      <c r="B532" t="s">
        <v>842</v>
      </c>
      <c r="C532">
        <v>204</v>
      </c>
      <c r="D532">
        <v>6</v>
      </c>
      <c r="E532" s="8">
        <f>C532/D532</f>
        <v>34</v>
      </c>
      <c r="F532">
        <v>64</v>
      </c>
      <c r="G532">
        <v>48</v>
      </c>
      <c r="H532" s="8">
        <f>C532/G532</f>
        <v>4.25</v>
      </c>
      <c r="I532">
        <v>5000</v>
      </c>
      <c r="J532">
        <v>6.1</v>
      </c>
      <c r="K532">
        <v>18</v>
      </c>
      <c r="L532" t="s">
        <v>17</v>
      </c>
      <c r="M532" t="s">
        <v>18</v>
      </c>
      <c r="N532" t="s">
        <v>31</v>
      </c>
      <c r="O532">
        <v>4.3</v>
      </c>
      <c r="P532" t="s">
        <v>44</v>
      </c>
      <c r="Q532">
        <v>2025</v>
      </c>
    </row>
    <row r="533" spans="1:17" hidden="1" x14ac:dyDescent="0.3">
      <c r="A533" t="s">
        <v>66</v>
      </c>
      <c r="B533" t="s">
        <v>718</v>
      </c>
      <c r="C533">
        <v>121</v>
      </c>
      <c r="D533">
        <v>4</v>
      </c>
      <c r="E533"/>
      <c r="F533">
        <v>512</v>
      </c>
      <c r="G533">
        <v>48</v>
      </c>
      <c r="H533"/>
      <c r="I533">
        <v>5000</v>
      </c>
      <c r="J533">
        <v>6.7</v>
      </c>
      <c r="K533">
        <v>44</v>
      </c>
      <c r="L533" t="s">
        <v>38</v>
      </c>
      <c r="M533" t="s">
        <v>18</v>
      </c>
      <c r="N533" t="s">
        <v>27</v>
      </c>
      <c r="O533">
        <v>4.3</v>
      </c>
      <c r="P533" t="s">
        <v>42</v>
      </c>
      <c r="Q533">
        <v>2025</v>
      </c>
    </row>
    <row r="534" spans="1:17" hidden="1" x14ac:dyDescent="0.3">
      <c r="A534" t="s">
        <v>15</v>
      </c>
      <c r="B534" t="s">
        <v>724</v>
      </c>
      <c r="C534">
        <v>1444</v>
      </c>
      <c r="D534">
        <v>4</v>
      </c>
      <c r="E534"/>
      <c r="F534">
        <v>256</v>
      </c>
      <c r="G534">
        <v>12</v>
      </c>
      <c r="H534"/>
      <c r="I534">
        <v>4500</v>
      </c>
      <c r="J534">
        <v>7</v>
      </c>
      <c r="K534">
        <v>65</v>
      </c>
      <c r="L534" t="s">
        <v>17</v>
      </c>
      <c r="M534" t="s">
        <v>18</v>
      </c>
      <c r="N534" t="s">
        <v>23</v>
      </c>
      <c r="O534">
        <v>4.3</v>
      </c>
      <c r="P534" t="s">
        <v>54</v>
      </c>
      <c r="Q534">
        <v>2025</v>
      </c>
    </row>
    <row r="535" spans="1:17" hidden="1" x14ac:dyDescent="0.3">
      <c r="A535" t="s">
        <v>32</v>
      </c>
      <c r="B535" t="s">
        <v>748</v>
      </c>
      <c r="C535">
        <v>1163</v>
      </c>
      <c r="D535">
        <v>4</v>
      </c>
      <c r="E535"/>
      <c r="F535">
        <v>512</v>
      </c>
      <c r="G535">
        <v>64</v>
      </c>
      <c r="H535"/>
      <c r="I535">
        <v>4000</v>
      </c>
      <c r="J535">
        <v>6.7</v>
      </c>
      <c r="K535">
        <v>65</v>
      </c>
      <c r="L535" t="s">
        <v>38</v>
      </c>
      <c r="M535" t="s">
        <v>34</v>
      </c>
      <c r="N535" t="s">
        <v>61</v>
      </c>
      <c r="O535">
        <v>4.3</v>
      </c>
      <c r="P535" t="s">
        <v>24</v>
      </c>
      <c r="Q535">
        <v>2025</v>
      </c>
    </row>
    <row r="536" spans="1:17" hidden="1" x14ac:dyDescent="0.3">
      <c r="A536" t="s">
        <v>25</v>
      </c>
      <c r="B536" t="s">
        <v>251</v>
      </c>
      <c r="C536">
        <v>585</v>
      </c>
      <c r="D536">
        <v>6</v>
      </c>
      <c r="E536"/>
      <c r="F536">
        <v>1024</v>
      </c>
      <c r="G536">
        <v>50</v>
      </c>
      <c r="H536"/>
      <c r="I536">
        <v>5000</v>
      </c>
      <c r="J536">
        <v>6</v>
      </c>
      <c r="K536">
        <v>65</v>
      </c>
      <c r="L536" t="s">
        <v>38</v>
      </c>
      <c r="M536" t="s">
        <v>18</v>
      </c>
      <c r="N536" t="s">
        <v>35</v>
      </c>
      <c r="O536">
        <v>4.3</v>
      </c>
      <c r="P536" t="s">
        <v>71</v>
      </c>
      <c r="Q536">
        <v>2025</v>
      </c>
    </row>
    <row r="537" spans="1:17" hidden="1" x14ac:dyDescent="0.3">
      <c r="A537" t="s">
        <v>32</v>
      </c>
      <c r="B537" t="s">
        <v>304</v>
      </c>
      <c r="C537">
        <v>625</v>
      </c>
      <c r="D537">
        <v>6</v>
      </c>
      <c r="E537"/>
      <c r="F537">
        <v>1024</v>
      </c>
      <c r="G537">
        <v>50</v>
      </c>
      <c r="H537"/>
      <c r="I537">
        <v>4500</v>
      </c>
      <c r="J537">
        <v>6.5</v>
      </c>
      <c r="K537">
        <v>65</v>
      </c>
      <c r="L537" t="s">
        <v>17</v>
      </c>
      <c r="M537" t="s">
        <v>34</v>
      </c>
      <c r="N537" t="s">
        <v>61</v>
      </c>
      <c r="O537">
        <v>4.3</v>
      </c>
      <c r="P537" t="s">
        <v>24</v>
      </c>
      <c r="Q537">
        <v>2025</v>
      </c>
    </row>
    <row r="538" spans="1:17" hidden="1" x14ac:dyDescent="0.3">
      <c r="A538" t="s">
        <v>29</v>
      </c>
      <c r="B538" t="s">
        <v>355</v>
      </c>
      <c r="C538">
        <v>126</v>
      </c>
      <c r="D538">
        <v>6</v>
      </c>
      <c r="E538"/>
      <c r="F538">
        <v>128</v>
      </c>
      <c r="G538">
        <v>64</v>
      </c>
      <c r="H538"/>
      <c r="I538">
        <v>4000</v>
      </c>
      <c r="J538">
        <v>6.2</v>
      </c>
      <c r="K538">
        <v>33</v>
      </c>
      <c r="L538" t="s">
        <v>38</v>
      </c>
      <c r="M538" t="s">
        <v>18</v>
      </c>
      <c r="N538" t="s">
        <v>31</v>
      </c>
      <c r="O538">
        <v>4.3</v>
      </c>
      <c r="P538" t="s">
        <v>44</v>
      </c>
      <c r="Q538">
        <v>2025</v>
      </c>
    </row>
    <row r="539" spans="1:17" hidden="1" x14ac:dyDescent="0.3">
      <c r="A539" t="s">
        <v>15</v>
      </c>
      <c r="B539" t="s">
        <v>357</v>
      </c>
      <c r="C539">
        <v>224</v>
      </c>
      <c r="D539">
        <v>6</v>
      </c>
      <c r="E539"/>
      <c r="F539">
        <v>512</v>
      </c>
      <c r="G539">
        <v>12</v>
      </c>
      <c r="H539"/>
      <c r="I539">
        <v>5000</v>
      </c>
      <c r="J539">
        <v>6.8</v>
      </c>
      <c r="K539">
        <v>18</v>
      </c>
      <c r="L539" t="s">
        <v>17</v>
      </c>
      <c r="M539" t="s">
        <v>18</v>
      </c>
      <c r="N539" t="s">
        <v>27</v>
      </c>
      <c r="O539">
        <v>4.3</v>
      </c>
      <c r="P539" t="s">
        <v>44</v>
      </c>
      <c r="Q539">
        <v>2025</v>
      </c>
    </row>
    <row r="540" spans="1:17" hidden="1" x14ac:dyDescent="0.3">
      <c r="A540" t="s">
        <v>15</v>
      </c>
      <c r="B540" t="s">
        <v>452</v>
      </c>
      <c r="C540">
        <v>1426</v>
      </c>
      <c r="D540">
        <v>6</v>
      </c>
      <c r="E540"/>
      <c r="F540">
        <v>256</v>
      </c>
      <c r="G540">
        <v>64</v>
      </c>
      <c r="H540"/>
      <c r="I540">
        <v>5000</v>
      </c>
      <c r="J540">
        <v>6.6</v>
      </c>
      <c r="K540">
        <v>44</v>
      </c>
      <c r="L540" t="s">
        <v>17</v>
      </c>
      <c r="M540" t="s">
        <v>18</v>
      </c>
      <c r="N540" t="s">
        <v>51</v>
      </c>
      <c r="O540">
        <v>4.3</v>
      </c>
      <c r="P540" t="s">
        <v>24</v>
      </c>
      <c r="Q540">
        <v>2025</v>
      </c>
    </row>
    <row r="541" spans="1:17" hidden="1" x14ac:dyDescent="0.3">
      <c r="A541" t="s">
        <v>15</v>
      </c>
      <c r="B541" t="s">
        <v>135</v>
      </c>
      <c r="C541">
        <v>1025</v>
      </c>
      <c r="D541">
        <v>16</v>
      </c>
      <c r="E541" s="8">
        <f>C541/D541</f>
        <v>64.0625</v>
      </c>
      <c r="F541">
        <v>512</v>
      </c>
      <c r="G541">
        <v>200</v>
      </c>
      <c r="H541" s="8">
        <f>C541/G541</f>
        <v>5.125</v>
      </c>
      <c r="I541">
        <v>6000</v>
      </c>
      <c r="J541">
        <v>6.5</v>
      </c>
      <c r="K541">
        <v>18</v>
      </c>
      <c r="L541" t="s">
        <v>17</v>
      </c>
      <c r="M541" t="s">
        <v>18</v>
      </c>
      <c r="N541" t="s">
        <v>27</v>
      </c>
      <c r="O541">
        <v>4.3</v>
      </c>
      <c r="P541" t="s">
        <v>24</v>
      </c>
      <c r="Q541">
        <v>2025</v>
      </c>
    </row>
    <row r="542" spans="1:17" hidden="1" x14ac:dyDescent="0.3">
      <c r="A542" t="s">
        <v>21</v>
      </c>
      <c r="B542" t="s">
        <v>607</v>
      </c>
      <c r="C542">
        <v>1274</v>
      </c>
      <c r="D542">
        <v>6</v>
      </c>
      <c r="E542"/>
      <c r="F542">
        <v>1024</v>
      </c>
      <c r="G542">
        <v>64</v>
      </c>
      <c r="H542"/>
      <c r="I542">
        <v>4000</v>
      </c>
      <c r="J542">
        <v>6.8</v>
      </c>
      <c r="K542">
        <v>44</v>
      </c>
      <c r="L542" t="s">
        <v>17</v>
      </c>
      <c r="M542" t="s">
        <v>18</v>
      </c>
      <c r="N542" t="s">
        <v>27</v>
      </c>
      <c r="O542">
        <v>4.3</v>
      </c>
      <c r="P542" t="s">
        <v>20</v>
      </c>
      <c r="Q542">
        <v>2025</v>
      </c>
    </row>
    <row r="543" spans="1:17" hidden="1" x14ac:dyDescent="0.3">
      <c r="A543" t="s">
        <v>29</v>
      </c>
      <c r="B543" t="s">
        <v>649</v>
      </c>
      <c r="C543">
        <v>582</v>
      </c>
      <c r="D543">
        <v>6</v>
      </c>
      <c r="E543"/>
      <c r="F543">
        <v>64</v>
      </c>
      <c r="G543">
        <v>12</v>
      </c>
      <c r="H543"/>
      <c r="I543">
        <v>5000</v>
      </c>
      <c r="J543">
        <v>7</v>
      </c>
      <c r="K543">
        <v>100</v>
      </c>
      <c r="L543" t="s">
        <v>38</v>
      </c>
      <c r="M543" t="s">
        <v>18</v>
      </c>
      <c r="N543" t="s">
        <v>51</v>
      </c>
      <c r="O543">
        <v>4.3</v>
      </c>
      <c r="P543" t="s">
        <v>46</v>
      </c>
      <c r="Q543">
        <v>2025</v>
      </c>
    </row>
    <row r="544" spans="1:17" hidden="1" x14ac:dyDescent="0.3">
      <c r="A544" t="s">
        <v>15</v>
      </c>
      <c r="B544" t="s">
        <v>675</v>
      </c>
      <c r="C544">
        <v>1479</v>
      </c>
      <c r="D544">
        <v>6</v>
      </c>
      <c r="E544"/>
      <c r="F544">
        <v>256</v>
      </c>
      <c r="G544">
        <v>200</v>
      </c>
      <c r="H544"/>
      <c r="I544">
        <v>5000</v>
      </c>
      <c r="J544">
        <v>5.9</v>
      </c>
      <c r="K544">
        <v>33</v>
      </c>
      <c r="L544" t="s">
        <v>38</v>
      </c>
      <c r="M544" t="s">
        <v>18</v>
      </c>
      <c r="N544" t="s">
        <v>27</v>
      </c>
      <c r="O544">
        <v>4.3</v>
      </c>
      <c r="P544" t="s">
        <v>46</v>
      </c>
      <c r="Q544">
        <v>2025</v>
      </c>
    </row>
    <row r="545" spans="1:17" hidden="1" x14ac:dyDescent="0.3">
      <c r="A545" t="s">
        <v>25</v>
      </c>
      <c r="B545" t="s">
        <v>773</v>
      </c>
      <c r="C545">
        <v>377</v>
      </c>
      <c r="D545">
        <v>6</v>
      </c>
      <c r="E545"/>
      <c r="F545">
        <v>128</v>
      </c>
      <c r="G545">
        <v>50</v>
      </c>
      <c r="H545"/>
      <c r="I545">
        <v>5500</v>
      </c>
      <c r="J545">
        <v>7</v>
      </c>
      <c r="K545">
        <v>44</v>
      </c>
      <c r="L545" t="s">
        <v>17</v>
      </c>
      <c r="M545" t="s">
        <v>18</v>
      </c>
      <c r="N545" t="s">
        <v>35</v>
      </c>
      <c r="O545">
        <v>4.3</v>
      </c>
      <c r="P545" t="s">
        <v>46</v>
      </c>
      <c r="Q545">
        <v>2025</v>
      </c>
    </row>
    <row r="546" spans="1:17" hidden="1" x14ac:dyDescent="0.3">
      <c r="A546" t="s">
        <v>49</v>
      </c>
      <c r="B546" t="s">
        <v>791</v>
      </c>
      <c r="C546">
        <v>1343</v>
      </c>
      <c r="D546">
        <v>6</v>
      </c>
      <c r="E546"/>
      <c r="F546">
        <v>64</v>
      </c>
      <c r="G546">
        <v>50</v>
      </c>
      <c r="H546"/>
      <c r="I546">
        <v>4500</v>
      </c>
      <c r="J546">
        <v>5.9</v>
      </c>
      <c r="K546">
        <v>18</v>
      </c>
      <c r="L546" t="s">
        <v>17</v>
      </c>
      <c r="M546" t="s">
        <v>18</v>
      </c>
      <c r="N546" t="s">
        <v>48</v>
      </c>
      <c r="O546">
        <v>4.3</v>
      </c>
      <c r="P546" t="s">
        <v>24</v>
      </c>
      <c r="Q546">
        <v>2025</v>
      </c>
    </row>
    <row r="547" spans="1:17" hidden="1" x14ac:dyDescent="0.3">
      <c r="A547" t="s">
        <v>36</v>
      </c>
      <c r="B547" t="s">
        <v>799</v>
      </c>
      <c r="C547">
        <v>327</v>
      </c>
      <c r="D547">
        <v>6</v>
      </c>
      <c r="E547"/>
      <c r="F547">
        <v>512</v>
      </c>
      <c r="G547">
        <v>108</v>
      </c>
      <c r="H547"/>
      <c r="I547">
        <v>5000</v>
      </c>
      <c r="J547">
        <v>6.7</v>
      </c>
      <c r="K547">
        <v>65</v>
      </c>
      <c r="L547" t="s">
        <v>17</v>
      </c>
      <c r="M547" t="s">
        <v>18</v>
      </c>
      <c r="N547" t="s">
        <v>27</v>
      </c>
      <c r="O547">
        <v>4.3</v>
      </c>
      <c r="P547" t="s">
        <v>56</v>
      </c>
      <c r="Q547">
        <v>2025</v>
      </c>
    </row>
    <row r="548" spans="1:17" hidden="1" x14ac:dyDescent="0.3">
      <c r="A548" t="s">
        <v>15</v>
      </c>
      <c r="B548" t="s">
        <v>941</v>
      </c>
      <c r="C548">
        <v>410</v>
      </c>
      <c r="D548">
        <v>8</v>
      </c>
      <c r="E548" s="8">
        <f>C548/D548</f>
        <v>51.25</v>
      </c>
      <c r="F548">
        <v>1024</v>
      </c>
      <c r="G548">
        <v>64</v>
      </c>
      <c r="H548" s="8">
        <f>C548/G548</f>
        <v>6.40625</v>
      </c>
      <c r="I548">
        <v>5000</v>
      </c>
      <c r="J548">
        <v>6.7</v>
      </c>
      <c r="K548">
        <v>18</v>
      </c>
      <c r="L548" t="s">
        <v>17</v>
      </c>
      <c r="M548" t="s">
        <v>18</v>
      </c>
      <c r="N548" t="s">
        <v>31</v>
      </c>
      <c r="O548">
        <v>4.3</v>
      </c>
      <c r="P548" t="s">
        <v>24</v>
      </c>
      <c r="Q548">
        <v>2025</v>
      </c>
    </row>
    <row r="549" spans="1:17" hidden="1" x14ac:dyDescent="0.3">
      <c r="A549" t="s">
        <v>32</v>
      </c>
      <c r="B549" t="s">
        <v>865</v>
      </c>
      <c r="C549">
        <v>479</v>
      </c>
      <c r="D549">
        <v>6</v>
      </c>
      <c r="E549"/>
      <c r="F549">
        <v>128</v>
      </c>
      <c r="G549">
        <v>50</v>
      </c>
      <c r="H549"/>
      <c r="I549">
        <v>4000</v>
      </c>
      <c r="J549">
        <v>6.8</v>
      </c>
      <c r="K549">
        <v>44</v>
      </c>
      <c r="L549" t="s">
        <v>38</v>
      </c>
      <c r="M549" t="s">
        <v>34</v>
      </c>
      <c r="N549" t="s">
        <v>48</v>
      </c>
      <c r="O549">
        <v>4.3</v>
      </c>
      <c r="P549" t="s">
        <v>44</v>
      </c>
      <c r="Q549">
        <v>2025</v>
      </c>
    </row>
    <row r="550" spans="1:17" hidden="1" x14ac:dyDescent="0.3">
      <c r="A550" t="s">
        <v>29</v>
      </c>
      <c r="B550" t="s">
        <v>895</v>
      </c>
      <c r="C550">
        <v>1118</v>
      </c>
      <c r="D550">
        <v>6</v>
      </c>
      <c r="E550"/>
      <c r="F550">
        <v>64</v>
      </c>
      <c r="G550">
        <v>200</v>
      </c>
      <c r="H550"/>
      <c r="I550">
        <v>4000</v>
      </c>
      <c r="J550">
        <v>5.6</v>
      </c>
      <c r="K550">
        <v>65</v>
      </c>
      <c r="L550" t="s">
        <v>38</v>
      </c>
      <c r="M550" t="s">
        <v>18</v>
      </c>
      <c r="N550" t="s">
        <v>23</v>
      </c>
      <c r="O550">
        <v>4.3</v>
      </c>
      <c r="P550" t="s">
        <v>71</v>
      </c>
      <c r="Q550">
        <v>2025</v>
      </c>
    </row>
    <row r="551" spans="1:17" x14ac:dyDescent="0.3">
      <c r="A551" t="s">
        <v>21</v>
      </c>
      <c r="B551" t="s">
        <v>156</v>
      </c>
      <c r="C551">
        <v>208</v>
      </c>
      <c r="D551">
        <v>16</v>
      </c>
      <c r="E551" s="8">
        <f>C551/D551</f>
        <v>13</v>
      </c>
      <c r="F551">
        <v>128</v>
      </c>
      <c r="G551">
        <v>200</v>
      </c>
      <c r="H551" s="8">
        <f>C551/G551</f>
        <v>1.04</v>
      </c>
      <c r="I551">
        <v>6000</v>
      </c>
      <c r="J551">
        <v>7.1</v>
      </c>
      <c r="K551">
        <v>18</v>
      </c>
      <c r="L551" t="s">
        <v>38</v>
      </c>
      <c r="M551" t="s">
        <v>18</v>
      </c>
      <c r="N551" t="s">
        <v>61</v>
      </c>
      <c r="O551">
        <v>4.3</v>
      </c>
      <c r="P551" t="s">
        <v>46</v>
      </c>
      <c r="Q551">
        <v>2025</v>
      </c>
    </row>
    <row r="552" spans="1:17" hidden="1" x14ac:dyDescent="0.3">
      <c r="A552" t="s">
        <v>25</v>
      </c>
      <c r="B552" t="s">
        <v>158</v>
      </c>
      <c r="C552">
        <v>1343</v>
      </c>
      <c r="D552">
        <v>8</v>
      </c>
      <c r="E552"/>
      <c r="F552">
        <v>1024</v>
      </c>
      <c r="G552">
        <v>64</v>
      </c>
      <c r="H552"/>
      <c r="I552">
        <v>5000</v>
      </c>
      <c r="J552">
        <v>5.5</v>
      </c>
      <c r="K552">
        <v>18</v>
      </c>
      <c r="L552" t="s">
        <v>38</v>
      </c>
      <c r="M552" t="s">
        <v>18</v>
      </c>
      <c r="N552" t="s">
        <v>23</v>
      </c>
      <c r="O552">
        <v>4.3</v>
      </c>
      <c r="P552" t="s">
        <v>56</v>
      </c>
      <c r="Q552">
        <v>2025</v>
      </c>
    </row>
    <row r="553" spans="1:17" hidden="1" x14ac:dyDescent="0.3">
      <c r="A553" t="s">
        <v>36</v>
      </c>
      <c r="B553" t="s">
        <v>198</v>
      </c>
      <c r="C553">
        <v>262</v>
      </c>
      <c r="D553">
        <v>8</v>
      </c>
      <c r="E553"/>
      <c r="F553">
        <v>1024</v>
      </c>
      <c r="G553">
        <v>108</v>
      </c>
      <c r="H553"/>
      <c r="I553">
        <v>5000</v>
      </c>
      <c r="J553">
        <v>6.9</v>
      </c>
      <c r="K553">
        <v>18</v>
      </c>
      <c r="L553" t="s">
        <v>17</v>
      </c>
      <c r="M553" t="s">
        <v>18</v>
      </c>
      <c r="N553" t="s">
        <v>27</v>
      </c>
      <c r="O553">
        <v>4.3</v>
      </c>
      <c r="P553" t="s">
        <v>24</v>
      </c>
      <c r="Q553">
        <v>2025</v>
      </c>
    </row>
    <row r="554" spans="1:17" hidden="1" x14ac:dyDescent="0.3">
      <c r="A554" t="s">
        <v>49</v>
      </c>
      <c r="B554" t="s">
        <v>400</v>
      </c>
      <c r="C554">
        <v>329</v>
      </c>
      <c r="D554">
        <v>8</v>
      </c>
      <c r="E554"/>
      <c r="F554">
        <v>64</v>
      </c>
      <c r="G554">
        <v>12</v>
      </c>
      <c r="H554"/>
      <c r="I554">
        <v>5500</v>
      </c>
      <c r="J554">
        <v>5.9</v>
      </c>
      <c r="K554">
        <v>44</v>
      </c>
      <c r="L554" t="s">
        <v>38</v>
      </c>
      <c r="M554" t="s">
        <v>18</v>
      </c>
      <c r="N554" t="s">
        <v>19</v>
      </c>
      <c r="O554">
        <v>4.3</v>
      </c>
      <c r="P554" t="s">
        <v>54</v>
      </c>
      <c r="Q554">
        <v>2025</v>
      </c>
    </row>
    <row r="555" spans="1:17" x14ac:dyDescent="0.3">
      <c r="A555" t="s">
        <v>36</v>
      </c>
      <c r="B555" t="s">
        <v>1017</v>
      </c>
      <c r="C555">
        <v>1022</v>
      </c>
      <c r="D555">
        <v>6</v>
      </c>
      <c r="E555" s="8">
        <f>C555/D555</f>
        <v>170.33333333333334</v>
      </c>
      <c r="F555">
        <v>1024</v>
      </c>
      <c r="G555">
        <v>48</v>
      </c>
      <c r="H555" s="8">
        <f>C555/G555</f>
        <v>21.291666666666668</v>
      </c>
      <c r="I555">
        <v>4500</v>
      </c>
      <c r="J555">
        <v>5.9</v>
      </c>
      <c r="K555">
        <v>33</v>
      </c>
      <c r="L555" t="s">
        <v>38</v>
      </c>
      <c r="M555" t="s">
        <v>18</v>
      </c>
      <c r="N555" t="s">
        <v>48</v>
      </c>
      <c r="O555">
        <v>4.3</v>
      </c>
      <c r="P555" t="s">
        <v>64</v>
      </c>
      <c r="Q555">
        <v>2025</v>
      </c>
    </row>
    <row r="556" spans="1:17" hidden="1" x14ac:dyDescent="0.3">
      <c r="A556" t="s">
        <v>66</v>
      </c>
      <c r="B556" t="s">
        <v>437</v>
      </c>
      <c r="C556">
        <v>968</v>
      </c>
      <c r="D556">
        <v>8</v>
      </c>
      <c r="E556"/>
      <c r="F556">
        <v>256</v>
      </c>
      <c r="G556">
        <v>48</v>
      </c>
      <c r="H556"/>
      <c r="I556">
        <v>4500</v>
      </c>
      <c r="J556">
        <v>5.7</v>
      </c>
      <c r="K556">
        <v>33</v>
      </c>
      <c r="L556" t="s">
        <v>38</v>
      </c>
      <c r="M556" t="s">
        <v>18</v>
      </c>
      <c r="N556" t="s">
        <v>35</v>
      </c>
      <c r="O556">
        <v>4.3</v>
      </c>
      <c r="P556" t="s">
        <v>42</v>
      </c>
      <c r="Q556">
        <v>2025</v>
      </c>
    </row>
    <row r="557" spans="1:17" hidden="1" x14ac:dyDescent="0.3">
      <c r="A557" t="s">
        <v>36</v>
      </c>
      <c r="B557" t="s">
        <v>737</v>
      </c>
      <c r="C557">
        <v>1186</v>
      </c>
      <c r="D557">
        <v>8</v>
      </c>
      <c r="E557"/>
      <c r="F557">
        <v>1024</v>
      </c>
      <c r="G557">
        <v>200</v>
      </c>
      <c r="H557"/>
      <c r="I557">
        <v>4500</v>
      </c>
      <c r="J557">
        <v>6.2</v>
      </c>
      <c r="K557">
        <v>44</v>
      </c>
      <c r="L557" t="s">
        <v>38</v>
      </c>
      <c r="M557" t="s">
        <v>18</v>
      </c>
      <c r="N557" t="s">
        <v>23</v>
      </c>
      <c r="O557">
        <v>4.3</v>
      </c>
      <c r="P557" t="s">
        <v>46</v>
      </c>
      <c r="Q557">
        <v>2025</v>
      </c>
    </row>
    <row r="558" spans="1:17" hidden="1" x14ac:dyDescent="0.3">
      <c r="A558" t="s">
        <v>32</v>
      </c>
      <c r="B558" t="s">
        <v>768</v>
      </c>
      <c r="C558">
        <v>183</v>
      </c>
      <c r="D558">
        <v>8</v>
      </c>
      <c r="E558"/>
      <c r="F558">
        <v>128</v>
      </c>
      <c r="G558">
        <v>64</v>
      </c>
      <c r="H558"/>
      <c r="I558">
        <v>6000</v>
      </c>
      <c r="J558">
        <v>7.2</v>
      </c>
      <c r="K558">
        <v>120</v>
      </c>
      <c r="L558" t="s">
        <v>17</v>
      </c>
      <c r="M558" t="s">
        <v>34</v>
      </c>
      <c r="N558" t="s">
        <v>48</v>
      </c>
      <c r="O558">
        <v>4.3</v>
      </c>
      <c r="P558" t="s">
        <v>46</v>
      </c>
      <c r="Q558">
        <v>2025</v>
      </c>
    </row>
    <row r="559" spans="1:17" x14ac:dyDescent="0.3">
      <c r="A559" t="s">
        <v>36</v>
      </c>
      <c r="B559" t="s">
        <v>947</v>
      </c>
      <c r="C559">
        <v>440</v>
      </c>
      <c r="D559">
        <v>16</v>
      </c>
      <c r="E559" s="8">
        <f>C559/D559</f>
        <v>27.5</v>
      </c>
      <c r="F559">
        <v>512</v>
      </c>
      <c r="G559">
        <v>108</v>
      </c>
      <c r="H559" s="8">
        <f>C559/G559</f>
        <v>4.0740740740740744</v>
      </c>
      <c r="I559">
        <v>5000</v>
      </c>
      <c r="J559">
        <v>5.6</v>
      </c>
      <c r="K559">
        <v>44</v>
      </c>
      <c r="L559" t="s">
        <v>38</v>
      </c>
      <c r="M559" t="s">
        <v>18</v>
      </c>
      <c r="N559" t="s">
        <v>23</v>
      </c>
      <c r="O559">
        <v>4.3</v>
      </c>
      <c r="P559" t="s">
        <v>71</v>
      </c>
      <c r="Q559">
        <v>2025</v>
      </c>
    </row>
    <row r="560" spans="1:17" hidden="1" x14ac:dyDescent="0.3">
      <c r="A560" t="s">
        <v>40</v>
      </c>
      <c r="B560" t="s">
        <v>872</v>
      </c>
      <c r="C560">
        <v>1186</v>
      </c>
      <c r="D560">
        <v>8</v>
      </c>
      <c r="E560"/>
      <c r="F560">
        <v>128</v>
      </c>
      <c r="G560">
        <v>200</v>
      </c>
      <c r="H560"/>
      <c r="I560">
        <v>5000</v>
      </c>
      <c r="J560">
        <v>7.2</v>
      </c>
      <c r="K560">
        <v>120</v>
      </c>
      <c r="L560" t="s">
        <v>17</v>
      </c>
      <c r="M560" t="s">
        <v>18</v>
      </c>
      <c r="N560" t="s">
        <v>31</v>
      </c>
      <c r="O560">
        <v>4.3</v>
      </c>
      <c r="P560" t="s">
        <v>24</v>
      </c>
      <c r="Q560">
        <v>2025</v>
      </c>
    </row>
    <row r="561" spans="1:17" hidden="1" x14ac:dyDescent="0.3">
      <c r="A561" t="s">
        <v>32</v>
      </c>
      <c r="B561" t="s">
        <v>891</v>
      </c>
      <c r="C561">
        <v>918</v>
      </c>
      <c r="D561">
        <v>8</v>
      </c>
      <c r="E561"/>
      <c r="F561">
        <v>1024</v>
      </c>
      <c r="G561">
        <v>64</v>
      </c>
      <c r="H561"/>
      <c r="I561">
        <v>4500</v>
      </c>
      <c r="J561">
        <v>6.7</v>
      </c>
      <c r="K561">
        <v>120</v>
      </c>
      <c r="L561" t="s">
        <v>38</v>
      </c>
      <c r="M561" t="s">
        <v>34</v>
      </c>
      <c r="N561" t="s">
        <v>35</v>
      </c>
      <c r="O561">
        <v>4.3</v>
      </c>
      <c r="P561" t="s">
        <v>56</v>
      </c>
      <c r="Q561">
        <v>2025</v>
      </c>
    </row>
    <row r="562" spans="1:17" hidden="1" x14ac:dyDescent="0.3">
      <c r="A562" t="s">
        <v>25</v>
      </c>
      <c r="B562" t="s">
        <v>921</v>
      </c>
      <c r="C562">
        <v>247</v>
      </c>
      <c r="D562">
        <v>8</v>
      </c>
      <c r="E562"/>
      <c r="F562">
        <v>256</v>
      </c>
      <c r="G562">
        <v>64</v>
      </c>
      <c r="H562"/>
      <c r="I562">
        <v>5500</v>
      </c>
      <c r="J562">
        <v>6.2</v>
      </c>
      <c r="K562">
        <v>120</v>
      </c>
      <c r="L562" t="s">
        <v>38</v>
      </c>
      <c r="M562" t="s">
        <v>18</v>
      </c>
      <c r="N562" t="s">
        <v>23</v>
      </c>
      <c r="O562">
        <v>4.3</v>
      </c>
      <c r="P562" t="s">
        <v>64</v>
      </c>
      <c r="Q562">
        <v>2025</v>
      </c>
    </row>
    <row r="563" spans="1:17" x14ac:dyDescent="0.3">
      <c r="A563" t="s">
        <v>25</v>
      </c>
      <c r="B563" t="s">
        <v>780</v>
      </c>
      <c r="C563">
        <v>460</v>
      </c>
      <c r="D563">
        <v>16</v>
      </c>
      <c r="E563" s="8">
        <f>C563/D563</f>
        <v>28.75</v>
      </c>
      <c r="F563">
        <v>128</v>
      </c>
      <c r="G563">
        <v>12</v>
      </c>
      <c r="H563" s="8">
        <f>C563/G563</f>
        <v>38.333333333333336</v>
      </c>
      <c r="I563">
        <v>4500</v>
      </c>
      <c r="J563">
        <v>6.4</v>
      </c>
      <c r="K563">
        <v>44</v>
      </c>
      <c r="L563" t="s">
        <v>38</v>
      </c>
      <c r="M563" t="s">
        <v>18</v>
      </c>
      <c r="N563" t="s">
        <v>48</v>
      </c>
      <c r="O563">
        <v>4.3</v>
      </c>
      <c r="P563" t="s">
        <v>39</v>
      </c>
      <c r="Q563">
        <v>2025</v>
      </c>
    </row>
    <row r="564" spans="1:17" hidden="1" x14ac:dyDescent="0.3">
      <c r="A564" t="s">
        <v>29</v>
      </c>
      <c r="B564" t="s">
        <v>984</v>
      </c>
      <c r="C564">
        <v>818</v>
      </c>
      <c r="D564">
        <v>8</v>
      </c>
      <c r="E564"/>
      <c r="F564">
        <v>256</v>
      </c>
      <c r="G564">
        <v>64</v>
      </c>
      <c r="H564"/>
      <c r="I564">
        <v>5000</v>
      </c>
      <c r="J564">
        <v>5.9</v>
      </c>
      <c r="K564">
        <v>18</v>
      </c>
      <c r="L564" t="s">
        <v>38</v>
      </c>
      <c r="M564" t="s">
        <v>18</v>
      </c>
      <c r="N564" t="s">
        <v>61</v>
      </c>
      <c r="O564">
        <v>4.3</v>
      </c>
      <c r="P564" t="s">
        <v>42</v>
      </c>
      <c r="Q564">
        <v>2025</v>
      </c>
    </row>
    <row r="565" spans="1:17" hidden="1" x14ac:dyDescent="0.3">
      <c r="A565" t="s">
        <v>29</v>
      </c>
      <c r="B565" t="s">
        <v>129</v>
      </c>
      <c r="C565">
        <v>1257</v>
      </c>
      <c r="D565">
        <v>12</v>
      </c>
      <c r="E565"/>
      <c r="F565">
        <v>1024</v>
      </c>
      <c r="G565">
        <v>200</v>
      </c>
      <c r="H565"/>
      <c r="I565">
        <v>4500</v>
      </c>
      <c r="J565">
        <v>5.8</v>
      </c>
      <c r="K565">
        <v>120</v>
      </c>
      <c r="L565" t="s">
        <v>38</v>
      </c>
      <c r="M565" t="s">
        <v>18</v>
      </c>
      <c r="N565" t="s">
        <v>19</v>
      </c>
      <c r="O565">
        <v>4.3</v>
      </c>
      <c r="P565" t="s">
        <v>56</v>
      </c>
      <c r="Q565">
        <v>2025</v>
      </c>
    </row>
    <row r="566" spans="1:17" hidden="1" x14ac:dyDescent="0.3">
      <c r="A566" t="s">
        <v>25</v>
      </c>
      <c r="B566" t="s">
        <v>141</v>
      </c>
      <c r="C566">
        <v>238</v>
      </c>
      <c r="D566">
        <v>12</v>
      </c>
      <c r="E566"/>
      <c r="F566">
        <v>1024</v>
      </c>
      <c r="G566">
        <v>50</v>
      </c>
      <c r="H566"/>
      <c r="I566">
        <v>4500</v>
      </c>
      <c r="J566">
        <v>7.1</v>
      </c>
      <c r="K566">
        <v>18</v>
      </c>
      <c r="L566" t="s">
        <v>38</v>
      </c>
      <c r="M566" t="s">
        <v>18</v>
      </c>
      <c r="N566" t="s">
        <v>51</v>
      </c>
      <c r="O566">
        <v>4.3</v>
      </c>
      <c r="P566" t="s">
        <v>56</v>
      </c>
      <c r="Q566">
        <v>2025</v>
      </c>
    </row>
    <row r="567" spans="1:17" hidden="1" x14ac:dyDescent="0.3">
      <c r="A567" t="s">
        <v>25</v>
      </c>
      <c r="B567" t="s">
        <v>238</v>
      </c>
      <c r="C567">
        <v>794</v>
      </c>
      <c r="D567">
        <v>12</v>
      </c>
      <c r="E567"/>
      <c r="F567">
        <v>1024</v>
      </c>
      <c r="G567">
        <v>200</v>
      </c>
      <c r="H567"/>
      <c r="I567">
        <v>4000</v>
      </c>
      <c r="J567">
        <v>5.9</v>
      </c>
      <c r="K567">
        <v>44</v>
      </c>
      <c r="L567" t="s">
        <v>38</v>
      </c>
      <c r="M567" t="s">
        <v>18</v>
      </c>
      <c r="N567" t="s">
        <v>61</v>
      </c>
      <c r="O567">
        <v>4.3</v>
      </c>
      <c r="P567" t="s">
        <v>56</v>
      </c>
      <c r="Q567">
        <v>2025</v>
      </c>
    </row>
    <row r="568" spans="1:17" hidden="1" x14ac:dyDescent="0.3">
      <c r="A568" t="s">
        <v>25</v>
      </c>
      <c r="B568" t="s">
        <v>282</v>
      </c>
      <c r="C568">
        <v>773</v>
      </c>
      <c r="D568">
        <v>12</v>
      </c>
      <c r="E568"/>
      <c r="F568">
        <v>64</v>
      </c>
      <c r="G568">
        <v>12</v>
      </c>
      <c r="H568"/>
      <c r="I568">
        <v>4500</v>
      </c>
      <c r="J568">
        <v>5.6</v>
      </c>
      <c r="K568">
        <v>100</v>
      </c>
      <c r="L568" t="s">
        <v>17</v>
      </c>
      <c r="M568" t="s">
        <v>18</v>
      </c>
      <c r="N568" t="s">
        <v>23</v>
      </c>
      <c r="O568">
        <v>4.3</v>
      </c>
      <c r="P568" t="s">
        <v>56</v>
      </c>
      <c r="Q568">
        <v>2025</v>
      </c>
    </row>
    <row r="569" spans="1:17" hidden="1" x14ac:dyDescent="0.3">
      <c r="A569" t="s">
        <v>36</v>
      </c>
      <c r="B569" t="s">
        <v>397</v>
      </c>
      <c r="C569">
        <v>437</v>
      </c>
      <c r="D569">
        <v>12</v>
      </c>
      <c r="E569"/>
      <c r="F569">
        <v>128</v>
      </c>
      <c r="G569">
        <v>64</v>
      </c>
      <c r="H569"/>
      <c r="I569">
        <v>4500</v>
      </c>
      <c r="J569">
        <v>6.9</v>
      </c>
      <c r="K569">
        <v>65</v>
      </c>
      <c r="L569" t="s">
        <v>17</v>
      </c>
      <c r="M569" t="s">
        <v>18</v>
      </c>
      <c r="N569" t="s">
        <v>19</v>
      </c>
      <c r="O569">
        <v>4.3</v>
      </c>
      <c r="P569" t="s">
        <v>24</v>
      </c>
      <c r="Q569">
        <v>2025</v>
      </c>
    </row>
    <row r="570" spans="1:17" hidden="1" x14ac:dyDescent="0.3">
      <c r="A570" t="s">
        <v>49</v>
      </c>
      <c r="B570" t="s">
        <v>454</v>
      </c>
      <c r="C570">
        <v>626</v>
      </c>
      <c r="D570">
        <v>12</v>
      </c>
      <c r="E570"/>
      <c r="F570">
        <v>64</v>
      </c>
      <c r="G570">
        <v>50</v>
      </c>
      <c r="H570"/>
      <c r="I570">
        <v>6000</v>
      </c>
      <c r="J570">
        <v>6.6</v>
      </c>
      <c r="K570">
        <v>33</v>
      </c>
      <c r="L570" t="s">
        <v>38</v>
      </c>
      <c r="M570" t="s">
        <v>18</v>
      </c>
      <c r="N570" t="s">
        <v>35</v>
      </c>
      <c r="O570">
        <v>4.3</v>
      </c>
      <c r="P570" t="s">
        <v>64</v>
      </c>
      <c r="Q570">
        <v>2025</v>
      </c>
    </row>
    <row r="571" spans="1:17" hidden="1" x14ac:dyDescent="0.3">
      <c r="A571" t="s">
        <v>40</v>
      </c>
      <c r="B571" t="s">
        <v>539</v>
      </c>
      <c r="C571">
        <v>596</v>
      </c>
      <c r="D571">
        <v>12</v>
      </c>
      <c r="E571"/>
      <c r="F571">
        <v>256</v>
      </c>
      <c r="G571">
        <v>12</v>
      </c>
      <c r="H571"/>
      <c r="I571">
        <v>5500</v>
      </c>
      <c r="J571">
        <v>7</v>
      </c>
      <c r="K571">
        <v>65</v>
      </c>
      <c r="L571" t="s">
        <v>17</v>
      </c>
      <c r="M571" t="s">
        <v>18</v>
      </c>
      <c r="N571" t="s">
        <v>23</v>
      </c>
      <c r="O571">
        <v>4.3</v>
      </c>
      <c r="P571" t="s">
        <v>44</v>
      </c>
      <c r="Q571">
        <v>2025</v>
      </c>
    </row>
    <row r="572" spans="1:17" hidden="1" x14ac:dyDescent="0.3">
      <c r="A572" t="s">
        <v>29</v>
      </c>
      <c r="B572" t="s">
        <v>747</v>
      </c>
      <c r="C572">
        <v>1146</v>
      </c>
      <c r="D572">
        <v>12</v>
      </c>
      <c r="E572"/>
      <c r="F572">
        <v>128</v>
      </c>
      <c r="G572">
        <v>108</v>
      </c>
      <c r="H572"/>
      <c r="I572">
        <v>5000</v>
      </c>
      <c r="J572">
        <v>6.8</v>
      </c>
      <c r="K572">
        <v>33</v>
      </c>
      <c r="L572" t="s">
        <v>17</v>
      </c>
      <c r="M572" t="s">
        <v>18</v>
      </c>
      <c r="N572" t="s">
        <v>19</v>
      </c>
      <c r="O572">
        <v>4.3</v>
      </c>
      <c r="P572" t="s">
        <v>54</v>
      </c>
      <c r="Q572">
        <v>2025</v>
      </c>
    </row>
    <row r="573" spans="1:17" hidden="1" x14ac:dyDescent="0.3">
      <c r="A573" t="s">
        <v>25</v>
      </c>
      <c r="B573" t="s">
        <v>981</v>
      </c>
      <c r="C573">
        <v>450</v>
      </c>
      <c r="D573">
        <v>16</v>
      </c>
      <c r="E573" s="8">
        <f t="shared" ref="E573:E574" si="52">C573/D573</f>
        <v>28.125</v>
      </c>
      <c r="F573">
        <v>1024</v>
      </c>
      <c r="G573">
        <v>50</v>
      </c>
      <c r="H573" s="8">
        <f t="shared" ref="H573:H574" si="53">C573/G573</f>
        <v>9</v>
      </c>
      <c r="I573">
        <v>5000</v>
      </c>
      <c r="J573">
        <v>6.6</v>
      </c>
      <c r="K573">
        <v>44</v>
      </c>
      <c r="L573" t="s">
        <v>17</v>
      </c>
      <c r="M573" t="s">
        <v>18</v>
      </c>
      <c r="N573" t="s">
        <v>48</v>
      </c>
      <c r="O573">
        <v>4.3</v>
      </c>
      <c r="P573" t="s">
        <v>71</v>
      </c>
      <c r="Q573">
        <v>2025</v>
      </c>
    </row>
    <row r="574" spans="1:17" x14ac:dyDescent="0.3">
      <c r="A574" t="s">
        <v>32</v>
      </c>
      <c r="B574" t="s">
        <v>656</v>
      </c>
      <c r="C574">
        <v>1043</v>
      </c>
      <c r="D574">
        <v>4</v>
      </c>
      <c r="E574" s="8">
        <f t="shared" si="52"/>
        <v>260.75</v>
      </c>
      <c r="F574">
        <v>1024</v>
      </c>
      <c r="G574">
        <v>200</v>
      </c>
      <c r="H574" s="8">
        <f t="shared" si="53"/>
        <v>5.2149999999999999</v>
      </c>
      <c r="I574">
        <v>5500</v>
      </c>
      <c r="J574">
        <v>5.6</v>
      </c>
      <c r="K574">
        <v>65</v>
      </c>
      <c r="L574" t="s">
        <v>38</v>
      </c>
      <c r="M574" t="s">
        <v>34</v>
      </c>
      <c r="N574" t="s">
        <v>31</v>
      </c>
      <c r="O574">
        <v>4.3</v>
      </c>
      <c r="P574" t="s">
        <v>24</v>
      </c>
      <c r="Q574">
        <v>2025</v>
      </c>
    </row>
    <row r="575" spans="1:17" hidden="1" x14ac:dyDescent="0.3">
      <c r="A575" t="s">
        <v>15</v>
      </c>
      <c r="B575" t="s">
        <v>816</v>
      </c>
      <c r="C575">
        <v>179</v>
      </c>
      <c r="D575">
        <v>12</v>
      </c>
      <c r="E575"/>
      <c r="F575">
        <v>256</v>
      </c>
      <c r="G575">
        <v>200</v>
      </c>
      <c r="H575"/>
      <c r="I575">
        <v>5000</v>
      </c>
      <c r="J575">
        <v>5.6</v>
      </c>
      <c r="K575">
        <v>120</v>
      </c>
      <c r="L575" t="s">
        <v>38</v>
      </c>
      <c r="M575" t="s">
        <v>18</v>
      </c>
      <c r="N575" t="s">
        <v>35</v>
      </c>
      <c r="O575">
        <v>4.3</v>
      </c>
      <c r="P575" t="s">
        <v>64</v>
      </c>
      <c r="Q575">
        <v>2025</v>
      </c>
    </row>
    <row r="576" spans="1:17" hidden="1" x14ac:dyDescent="0.3">
      <c r="A576" t="s">
        <v>66</v>
      </c>
      <c r="B576" t="s">
        <v>1030</v>
      </c>
      <c r="C576">
        <v>1224</v>
      </c>
      <c r="D576">
        <v>12</v>
      </c>
      <c r="E576"/>
      <c r="F576">
        <v>64</v>
      </c>
      <c r="G576">
        <v>48</v>
      </c>
      <c r="H576"/>
      <c r="I576">
        <v>5000</v>
      </c>
      <c r="J576">
        <v>6</v>
      </c>
      <c r="K576">
        <v>33</v>
      </c>
      <c r="L576" t="s">
        <v>38</v>
      </c>
      <c r="M576" t="s">
        <v>18</v>
      </c>
      <c r="N576" t="s">
        <v>51</v>
      </c>
      <c r="O576">
        <v>4.3</v>
      </c>
      <c r="P576" t="s">
        <v>82</v>
      </c>
      <c r="Q576">
        <v>2025</v>
      </c>
    </row>
    <row r="577" spans="1:17" hidden="1" x14ac:dyDescent="0.3">
      <c r="A577" t="s">
        <v>15</v>
      </c>
      <c r="B577" t="s">
        <v>112</v>
      </c>
      <c r="C577">
        <v>584</v>
      </c>
      <c r="D577">
        <v>16</v>
      </c>
      <c r="E577"/>
      <c r="F577">
        <v>256</v>
      </c>
      <c r="G577">
        <v>48</v>
      </c>
      <c r="H577"/>
      <c r="I577">
        <v>5000</v>
      </c>
      <c r="J577">
        <v>6.6</v>
      </c>
      <c r="K577">
        <v>120</v>
      </c>
      <c r="L577" t="s">
        <v>38</v>
      </c>
      <c r="M577" t="s">
        <v>18</v>
      </c>
      <c r="N577" t="s">
        <v>23</v>
      </c>
      <c r="O577">
        <v>4.3</v>
      </c>
      <c r="P577" t="s">
        <v>82</v>
      </c>
      <c r="Q577">
        <v>2025</v>
      </c>
    </row>
    <row r="578" spans="1:17" x14ac:dyDescent="0.3">
      <c r="A578" t="s">
        <v>15</v>
      </c>
      <c r="B578" t="s">
        <v>542</v>
      </c>
      <c r="C578">
        <v>1008</v>
      </c>
      <c r="D578">
        <v>16</v>
      </c>
      <c r="E578" s="8">
        <f>C578/D578</f>
        <v>63</v>
      </c>
      <c r="F578">
        <v>512</v>
      </c>
      <c r="G578">
        <v>48</v>
      </c>
      <c r="H578" s="8">
        <f>C578/G578</f>
        <v>21</v>
      </c>
      <c r="I578">
        <v>6000</v>
      </c>
      <c r="J578">
        <v>5.9</v>
      </c>
      <c r="K578">
        <v>65</v>
      </c>
      <c r="L578" t="s">
        <v>38</v>
      </c>
      <c r="M578" t="s">
        <v>18</v>
      </c>
      <c r="N578" t="s">
        <v>61</v>
      </c>
      <c r="O578">
        <v>4.3</v>
      </c>
      <c r="P578" t="s">
        <v>20</v>
      </c>
      <c r="Q578">
        <v>2025</v>
      </c>
    </row>
    <row r="579" spans="1:17" hidden="1" x14ac:dyDescent="0.3">
      <c r="A579" t="s">
        <v>66</v>
      </c>
      <c r="B579" t="s">
        <v>151</v>
      </c>
      <c r="C579">
        <v>994</v>
      </c>
      <c r="D579">
        <v>16</v>
      </c>
      <c r="E579"/>
      <c r="F579">
        <v>1024</v>
      </c>
      <c r="G579">
        <v>48</v>
      </c>
      <c r="H579"/>
      <c r="I579">
        <v>6000</v>
      </c>
      <c r="J579">
        <v>6.6</v>
      </c>
      <c r="K579">
        <v>65</v>
      </c>
      <c r="L579" t="s">
        <v>38</v>
      </c>
      <c r="M579" t="s">
        <v>18</v>
      </c>
      <c r="N579" t="s">
        <v>27</v>
      </c>
      <c r="O579">
        <v>4.3</v>
      </c>
      <c r="P579" t="s">
        <v>44</v>
      </c>
      <c r="Q579">
        <v>2025</v>
      </c>
    </row>
    <row r="580" spans="1:17" x14ac:dyDescent="0.3">
      <c r="A580" t="s">
        <v>21</v>
      </c>
      <c r="B580" t="s">
        <v>797</v>
      </c>
      <c r="C580">
        <v>408</v>
      </c>
      <c r="D580">
        <v>12</v>
      </c>
      <c r="E580" s="8">
        <f>C580/D580</f>
        <v>34</v>
      </c>
      <c r="F580">
        <v>512</v>
      </c>
      <c r="G580">
        <v>108</v>
      </c>
      <c r="H580" s="8">
        <f>C580/G580</f>
        <v>3.7777777777777777</v>
      </c>
      <c r="I580">
        <v>5500</v>
      </c>
      <c r="J580">
        <v>6.4</v>
      </c>
      <c r="K580">
        <v>65</v>
      </c>
      <c r="L580" t="s">
        <v>38</v>
      </c>
      <c r="M580" t="s">
        <v>18</v>
      </c>
      <c r="N580" t="s">
        <v>61</v>
      </c>
      <c r="O580">
        <v>4.3</v>
      </c>
      <c r="P580" t="s">
        <v>39</v>
      </c>
      <c r="Q580">
        <v>2025</v>
      </c>
    </row>
    <row r="581" spans="1:17" hidden="1" x14ac:dyDescent="0.3">
      <c r="A581" t="s">
        <v>29</v>
      </c>
      <c r="B581" t="s">
        <v>188</v>
      </c>
      <c r="C581">
        <v>473</v>
      </c>
      <c r="D581">
        <v>16</v>
      </c>
      <c r="E581"/>
      <c r="F581">
        <v>128</v>
      </c>
      <c r="G581">
        <v>108</v>
      </c>
      <c r="H581"/>
      <c r="I581">
        <v>5000</v>
      </c>
      <c r="J581">
        <v>6</v>
      </c>
      <c r="K581">
        <v>44</v>
      </c>
      <c r="L581" t="s">
        <v>17</v>
      </c>
      <c r="M581" t="s">
        <v>18</v>
      </c>
      <c r="N581" t="s">
        <v>48</v>
      </c>
      <c r="O581">
        <v>4.3</v>
      </c>
      <c r="P581" t="s">
        <v>54</v>
      </c>
      <c r="Q581">
        <v>2025</v>
      </c>
    </row>
    <row r="582" spans="1:17" hidden="1" x14ac:dyDescent="0.3">
      <c r="A582" t="s">
        <v>21</v>
      </c>
      <c r="B582" t="s">
        <v>393</v>
      </c>
      <c r="C582">
        <v>342</v>
      </c>
      <c r="D582">
        <v>16</v>
      </c>
      <c r="E582"/>
      <c r="F582">
        <v>256</v>
      </c>
      <c r="G582">
        <v>48</v>
      </c>
      <c r="H582"/>
      <c r="I582">
        <v>4000</v>
      </c>
      <c r="J582">
        <v>5.9</v>
      </c>
      <c r="K582">
        <v>65</v>
      </c>
      <c r="L582" t="s">
        <v>38</v>
      </c>
      <c r="M582" t="s">
        <v>18</v>
      </c>
      <c r="N582" t="s">
        <v>27</v>
      </c>
      <c r="O582">
        <v>4.3</v>
      </c>
      <c r="P582" t="s">
        <v>20</v>
      </c>
      <c r="Q582">
        <v>2025</v>
      </c>
    </row>
    <row r="583" spans="1:17" x14ac:dyDescent="0.3">
      <c r="A583" t="s">
        <v>29</v>
      </c>
      <c r="B583" t="s">
        <v>837</v>
      </c>
      <c r="C583">
        <v>307</v>
      </c>
      <c r="D583">
        <v>8</v>
      </c>
      <c r="E583" s="8">
        <f>C583/D583</f>
        <v>38.375</v>
      </c>
      <c r="F583">
        <v>256</v>
      </c>
      <c r="G583">
        <v>48</v>
      </c>
      <c r="H583" s="8">
        <f>C583/G583</f>
        <v>6.395833333333333</v>
      </c>
      <c r="I583">
        <v>6000</v>
      </c>
      <c r="J583">
        <v>6.7</v>
      </c>
      <c r="K583">
        <v>65</v>
      </c>
      <c r="L583" t="s">
        <v>38</v>
      </c>
      <c r="M583" t="s">
        <v>18</v>
      </c>
      <c r="N583" t="s">
        <v>27</v>
      </c>
      <c r="O583">
        <v>4.3</v>
      </c>
      <c r="P583" t="s">
        <v>44</v>
      </c>
      <c r="Q583">
        <v>2025</v>
      </c>
    </row>
    <row r="584" spans="1:17" hidden="1" x14ac:dyDescent="0.3">
      <c r="A584" t="s">
        <v>36</v>
      </c>
      <c r="B584" t="s">
        <v>650</v>
      </c>
      <c r="C584">
        <v>883</v>
      </c>
      <c r="D584">
        <v>16</v>
      </c>
      <c r="E584"/>
      <c r="F584">
        <v>1024</v>
      </c>
      <c r="G584">
        <v>64</v>
      </c>
      <c r="H584"/>
      <c r="I584">
        <v>6000</v>
      </c>
      <c r="J584">
        <v>5.7</v>
      </c>
      <c r="K584">
        <v>100</v>
      </c>
      <c r="L584" t="s">
        <v>38</v>
      </c>
      <c r="M584" t="s">
        <v>18</v>
      </c>
      <c r="N584" t="s">
        <v>48</v>
      </c>
      <c r="O584">
        <v>4.3</v>
      </c>
      <c r="P584" t="s">
        <v>42</v>
      </c>
      <c r="Q584">
        <v>2025</v>
      </c>
    </row>
    <row r="585" spans="1:17" hidden="1" x14ac:dyDescent="0.3">
      <c r="A585" t="s">
        <v>21</v>
      </c>
      <c r="B585" t="s">
        <v>751</v>
      </c>
      <c r="C585">
        <v>231</v>
      </c>
      <c r="D585">
        <v>16</v>
      </c>
      <c r="E585"/>
      <c r="F585">
        <v>256</v>
      </c>
      <c r="G585">
        <v>200</v>
      </c>
      <c r="H585"/>
      <c r="I585">
        <v>5500</v>
      </c>
      <c r="J585">
        <v>5.7</v>
      </c>
      <c r="K585">
        <v>65</v>
      </c>
      <c r="L585" t="s">
        <v>17</v>
      </c>
      <c r="M585" t="s">
        <v>18</v>
      </c>
      <c r="N585" t="s">
        <v>35</v>
      </c>
      <c r="O585">
        <v>4.3</v>
      </c>
      <c r="P585" t="s">
        <v>46</v>
      </c>
      <c r="Q585">
        <v>2025</v>
      </c>
    </row>
    <row r="586" spans="1:17" hidden="1" x14ac:dyDescent="0.3">
      <c r="A586" t="s">
        <v>66</v>
      </c>
      <c r="B586" t="s">
        <v>757</v>
      </c>
      <c r="C586">
        <v>402</v>
      </c>
      <c r="D586">
        <v>12</v>
      </c>
      <c r="E586" s="8">
        <f t="shared" ref="E586:E588" si="54">C586/D586</f>
        <v>33.5</v>
      </c>
      <c r="F586">
        <v>1024</v>
      </c>
      <c r="G586">
        <v>48</v>
      </c>
      <c r="H586" s="8">
        <f t="shared" ref="H586:H588" si="55">C586/G586</f>
        <v>8.375</v>
      </c>
      <c r="I586">
        <v>6000</v>
      </c>
      <c r="J586">
        <v>5.8</v>
      </c>
      <c r="K586">
        <v>120</v>
      </c>
      <c r="L586" t="s">
        <v>17</v>
      </c>
      <c r="M586" t="s">
        <v>18</v>
      </c>
      <c r="N586" t="s">
        <v>51</v>
      </c>
      <c r="O586">
        <v>4.3</v>
      </c>
      <c r="P586" t="s">
        <v>39</v>
      </c>
      <c r="Q586">
        <v>2025</v>
      </c>
    </row>
    <row r="587" spans="1:17" hidden="1" x14ac:dyDescent="0.3">
      <c r="A587" t="s">
        <v>36</v>
      </c>
      <c r="B587" t="s">
        <v>412</v>
      </c>
      <c r="C587">
        <v>310</v>
      </c>
      <c r="D587">
        <v>8</v>
      </c>
      <c r="E587" s="8">
        <f t="shared" si="54"/>
        <v>38.75</v>
      </c>
      <c r="F587">
        <v>256</v>
      </c>
      <c r="G587">
        <v>12</v>
      </c>
      <c r="H587" s="8">
        <f t="shared" si="55"/>
        <v>25.833333333333332</v>
      </c>
      <c r="I587">
        <v>5000</v>
      </c>
      <c r="J587">
        <v>7</v>
      </c>
      <c r="K587">
        <v>120</v>
      </c>
      <c r="L587" t="s">
        <v>17</v>
      </c>
      <c r="M587" t="s">
        <v>18</v>
      </c>
      <c r="N587" t="s">
        <v>31</v>
      </c>
      <c r="O587">
        <v>4.3</v>
      </c>
      <c r="P587" t="s">
        <v>82</v>
      </c>
      <c r="Q587">
        <v>2025</v>
      </c>
    </row>
    <row r="588" spans="1:17" x14ac:dyDescent="0.3">
      <c r="A588" t="s">
        <v>29</v>
      </c>
      <c r="B588" t="s">
        <v>488</v>
      </c>
      <c r="C588">
        <v>1048</v>
      </c>
      <c r="D588">
        <v>6</v>
      </c>
      <c r="E588" s="8">
        <f t="shared" si="54"/>
        <v>174.66666666666666</v>
      </c>
      <c r="F588">
        <v>256</v>
      </c>
      <c r="G588">
        <v>48</v>
      </c>
      <c r="H588" s="8">
        <f t="shared" si="55"/>
        <v>21.833333333333332</v>
      </c>
      <c r="I588">
        <v>4500</v>
      </c>
      <c r="J588">
        <v>7</v>
      </c>
      <c r="K588">
        <v>120</v>
      </c>
      <c r="L588" t="s">
        <v>38</v>
      </c>
      <c r="M588" t="s">
        <v>18</v>
      </c>
      <c r="N588" t="s">
        <v>35</v>
      </c>
      <c r="O588">
        <v>4.3</v>
      </c>
      <c r="P588" t="s">
        <v>39</v>
      </c>
      <c r="Q588">
        <v>2025</v>
      </c>
    </row>
    <row r="589" spans="1:17" hidden="1" x14ac:dyDescent="0.3">
      <c r="A589" t="s">
        <v>25</v>
      </c>
      <c r="B589" t="s">
        <v>990</v>
      </c>
      <c r="C589">
        <v>154</v>
      </c>
      <c r="D589">
        <v>16</v>
      </c>
      <c r="E589"/>
      <c r="F589">
        <v>128</v>
      </c>
      <c r="G589">
        <v>48</v>
      </c>
      <c r="H589"/>
      <c r="I589">
        <v>4000</v>
      </c>
      <c r="J589">
        <v>6.8</v>
      </c>
      <c r="K589">
        <v>120</v>
      </c>
      <c r="L589" t="s">
        <v>17</v>
      </c>
      <c r="M589" t="s">
        <v>18</v>
      </c>
      <c r="N589" t="s">
        <v>19</v>
      </c>
      <c r="O589">
        <v>4.3</v>
      </c>
      <c r="P589" t="s">
        <v>82</v>
      </c>
      <c r="Q589">
        <v>2025</v>
      </c>
    </row>
    <row r="590" spans="1:17" x14ac:dyDescent="0.3">
      <c r="A590" t="s">
        <v>66</v>
      </c>
      <c r="B590" t="s">
        <v>258</v>
      </c>
      <c r="C590">
        <v>660</v>
      </c>
      <c r="D590">
        <v>6</v>
      </c>
      <c r="E590" s="8">
        <f>C590/D590</f>
        <v>110</v>
      </c>
      <c r="F590">
        <v>64</v>
      </c>
      <c r="G590">
        <v>48</v>
      </c>
      <c r="H590" s="8">
        <f>C590/G590</f>
        <v>13.75</v>
      </c>
      <c r="I590">
        <v>5000</v>
      </c>
      <c r="J590">
        <v>5.5</v>
      </c>
      <c r="K590">
        <v>18</v>
      </c>
      <c r="L590" t="s">
        <v>38</v>
      </c>
      <c r="M590" t="s">
        <v>18</v>
      </c>
      <c r="N590" t="s">
        <v>61</v>
      </c>
      <c r="O590">
        <v>4.4000000000000004</v>
      </c>
      <c r="P590" t="s">
        <v>82</v>
      </c>
      <c r="Q590">
        <v>2025</v>
      </c>
    </row>
    <row r="591" spans="1:17" hidden="1" x14ac:dyDescent="0.3">
      <c r="A591" t="s">
        <v>29</v>
      </c>
      <c r="B591" t="s">
        <v>162</v>
      </c>
      <c r="C591">
        <v>1282</v>
      </c>
      <c r="D591">
        <v>4</v>
      </c>
      <c r="E591"/>
      <c r="F591">
        <v>128</v>
      </c>
      <c r="G591">
        <v>64</v>
      </c>
      <c r="H591"/>
      <c r="I591">
        <v>5000</v>
      </c>
      <c r="J591">
        <v>6.6</v>
      </c>
      <c r="K591">
        <v>120</v>
      </c>
      <c r="L591" t="s">
        <v>17</v>
      </c>
      <c r="M591" t="s">
        <v>18</v>
      </c>
      <c r="N591" t="s">
        <v>51</v>
      </c>
      <c r="O591">
        <v>4.4000000000000004</v>
      </c>
      <c r="P591" t="s">
        <v>54</v>
      </c>
      <c r="Q591">
        <v>2025</v>
      </c>
    </row>
    <row r="592" spans="1:17" hidden="1" x14ac:dyDescent="0.3">
      <c r="A592" t="s">
        <v>15</v>
      </c>
      <c r="B592" t="s">
        <v>931</v>
      </c>
      <c r="C592">
        <v>1083</v>
      </c>
      <c r="D592">
        <v>4</v>
      </c>
      <c r="E592" s="8">
        <f>C592/D592</f>
        <v>270.75</v>
      </c>
      <c r="F592">
        <v>128</v>
      </c>
      <c r="G592">
        <v>50</v>
      </c>
      <c r="H592" s="8">
        <f>C592/G592</f>
        <v>21.66</v>
      </c>
      <c r="I592">
        <v>4000</v>
      </c>
      <c r="J592">
        <v>5.7</v>
      </c>
      <c r="K592">
        <v>18</v>
      </c>
      <c r="L592" t="s">
        <v>17</v>
      </c>
      <c r="M592" t="s">
        <v>18</v>
      </c>
      <c r="N592" t="s">
        <v>19</v>
      </c>
      <c r="O592">
        <v>4.4000000000000004</v>
      </c>
      <c r="P592" t="s">
        <v>64</v>
      </c>
      <c r="Q592">
        <v>2025</v>
      </c>
    </row>
    <row r="593" spans="1:17" hidden="1" x14ac:dyDescent="0.3">
      <c r="A593" t="s">
        <v>25</v>
      </c>
      <c r="B593" t="s">
        <v>376</v>
      </c>
      <c r="C593">
        <v>1246</v>
      </c>
      <c r="D593">
        <v>4</v>
      </c>
      <c r="E593"/>
      <c r="F593">
        <v>512</v>
      </c>
      <c r="G593">
        <v>108</v>
      </c>
      <c r="H593"/>
      <c r="I593">
        <v>5500</v>
      </c>
      <c r="J593">
        <v>6.6</v>
      </c>
      <c r="K593">
        <v>120</v>
      </c>
      <c r="L593" t="s">
        <v>17</v>
      </c>
      <c r="M593" t="s">
        <v>18</v>
      </c>
      <c r="N593" t="s">
        <v>19</v>
      </c>
      <c r="O593">
        <v>4.4000000000000004</v>
      </c>
      <c r="P593" t="s">
        <v>46</v>
      </c>
      <c r="Q593">
        <v>2025</v>
      </c>
    </row>
    <row r="594" spans="1:17" x14ac:dyDescent="0.3">
      <c r="A594" t="s">
        <v>66</v>
      </c>
      <c r="B594" t="s">
        <v>104</v>
      </c>
      <c r="C594">
        <v>1020</v>
      </c>
      <c r="D594">
        <v>6</v>
      </c>
      <c r="E594" s="8">
        <f>C594/D594</f>
        <v>170</v>
      </c>
      <c r="F594">
        <v>128</v>
      </c>
      <c r="G594">
        <v>48</v>
      </c>
      <c r="H594" s="8">
        <f>C594/G594</f>
        <v>21.25</v>
      </c>
      <c r="I594">
        <v>4000</v>
      </c>
      <c r="J594">
        <v>6</v>
      </c>
      <c r="K594">
        <v>18</v>
      </c>
      <c r="L594" t="s">
        <v>38</v>
      </c>
      <c r="M594" t="s">
        <v>18</v>
      </c>
      <c r="N594" t="s">
        <v>23</v>
      </c>
      <c r="O594">
        <v>4.4000000000000004</v>
      </c>
      <c r="P594" t="s">
        <v>54</v>
      </c>
      <c r="Q594">
        <v>2025</v>
      </c>
    </row>
    <row r="595" spans="1:17" hidden="1" x14ac:dyDescent="0.3">
      <c r="A595" t="s">
        <v>40</v>
      </c>
      <c r="B595" t="s">
        <v>475</v>
      </c>
      <c r="C595">
        <v>1435</v>
      </c>
      <c r="D595">
        <v>4</v>
      </c>
      <c r="E595"/>
      <c r="F595">
        <v>512</v>
      </c>
      <c r="G595">
        <v>50</v>
      </c>
      <c r="H595"/>
      <c r="I595">
        <v>5000</v>
      </c>
      <c r="J595">
        <v>6.2</v>
      </c>
      <c r="K595">
        <v>100</v>
      </c>
      <c r="L595" t="s">
        <v>38</v>
      </c>
      <c r="M595" t="s">
        <v>18</v>
      </c>
      <c r="N595" t="s">
        <v>27</v>
      </c>
      <c r="O595">
        <v>4.4000000000000004</v>
      </c>
      <c r="P595" t="s">
        <v>71</v>
      </c>
      <c r="Q595">
        <v>2025</v>
      </c>
    </row>
    <row r="596" spans="1:17" hidden="1" x14ac:dyDescent="0.3">
      <c r="A596" t="s">
        <v>25</v>
      </c>
      <c r="B596" t="s">
        <v>510</v>
      </c>
      <c r="C596">
        <v>239</v>
      </c>
      <c r="D596">
        <v>4</v>
      </c>
      <c r="E596"/>
      <c r="F596">
        <v>256</v>
      </c>
      <c r="G596">
        <v>12</v>
      </c>
      <c r="H596"/>
      <c r="I596">
        <v>6000</v>
      </c>
      <c r="J596">
        <v>7</v>
      </c>
      <c r="K596">
        <v>100</v>
      </c>
      <c r="L596" t="s">
        <v>38</v>
      </c>
      <c r="M596" t="s">
        <v>18</v>
      </c>
      <c r="N596" t="s">
        <v>61</v>
      </c>
      <c r="O596">
        <v>4.4000000000000004</v>
      </c>
      <c r="P596" t="s">
        <v>20</v>
      </c>
      <c r="Q596">
        <v>2025</v>
      </c>
    </row>
    <row r="597" spans="1:17" hidden="1" x14ac:dyDescent="0.3">
      <c r="A597" t="s">
        <v>49</v>
      </c>
      <c r="B597" t="s">
        <v>554</v>
      </c>
      <c r="C597">
        <v>1215</v>
      </c>
      <c r="D597">
        <v>4</v>
      </c>
      <c r="E597"/>
      <c r="F597">
        <v>256</v>
      </c>
      <c r="G597">
        <v>12</v>
      </c>
      <c r="H597"/>
      <c r="I597">
        <v>4500</v>
      </c>
      <c r="J597">
        <v>5.9</v>
      </c>
      <c r="K597">
        <v>33</v>
      </c>
      <c r="L597" t="s">
        <v>17</v>
      </c>
      <c r="M597" t="s">
        <v>18</v>
      </c>
      <c r="N597" t="s">
        <v>61</v>
      </c>
      <c r="O597">
        <v>4.4000000000000004</v>
      </c>
      <c r="P597" t="s">
        <v>20</v>
      </c>
      <c r="Q597">
        <v>2025</v>
      </c>
    </row>
    <row r="598" spans="1:17" hidden="1" x14ac:dyDescent="0.3">
      <c r="A598" t="s">
        <v>40</v>
      </c>
      <c r="B598" t="s">
        <v>578</v>
      </c>
      <c r="C598">
        <v>548</v>
      </c>
      <c r="D598">
        <v>4</v>
      </c>
      <c r="E598"/>
      <c r="F598">
        <v>512</v>
      </c>
      <c r="G598">
        <v>50</v>
      </c>
      <c r="H598"/>
      <c r="I598">
        <v>4500</v>
      </c>
      <c r="J598">
        <v>7.2</v>
      </c>
      <c r="K598">
        <v>100</v>
      </c>
      <c r="L598" t="s">
        <v>17</v>
      </c>
      <c r="M598" t="s">
        <v>18</v>
      </c>
      <c r="N598" t="s">
        <v>31</v>
      </c>
      <c r="O598">
        <v>4.4000000000000004</v>
      </c>
      <c r="P598" t="s">
        <v>24</v>
      </c>
      <c r="Q598">
        <v>2025</v>
      </c>
    </row>
    <row r="599" spans="1:17" hidden="1" x14ac:dyDescent="0.3">
      <c r="A599" t="s">
        <v>40</v>
      </c>
      <c r="B599" t="s">
        <v>603</v>
      </c>
      <c r="C599">
        <v>858</v>
      </c>
      <c r="D599">
        <v>4</v>
      </c>
      <c r="E599"/>
      <c r="F599">
        <v>256</v>
      </c>
      <c r="G599">
        <v>200</v>
      </c>
      <c r="H599"/>
      <c r="I599">
        <v>6000</v>
      </c>
      <c r="J599">
        <v>7</v>
      </c>
      <c r="K599">
        <v>100</v>
      </c>
      <c r="L599" t="s">
        <v>17</v>
      </c>
      <c r="M599" t="s">
        <v>18</v>
      </c>
      <c r="N599" t="s">
        <v>35</v>
      </c>
      <c r="O599">
        <v>4.4000000000000004</v>
      </c>
      <c r="P599" t="s">
        <v>71</v>
      </c>
      <c r="Q599">
        <v>2025</v>
      </c>
    </row>
    <row r="600" spans="1:17" hidden="1" x14ac:dyDescent="0.3">
      <c r="A600" t="s">
        <v>15</v>
      </c>
      <c r="B600" t="s">
        <v>697</v>
      </c>
      <c r="C600">
        <v>948</v>
      </c>
      <c r="D600">
        <v>4</v>
      </c>
      <c r="E600"/>
      <c r="F600">
        <v>1024</v>
      </c>
      <c r="G600">
        <v>12</v>
      </c>
      <c r="H600"/>
      <c r="I600">
        <v>5500</v>
      </c>
      <c r="J600">
        <v>5.9</v>
      </c>
      <c r="K600">
        <v>120</v>
      </c>
      <c r="L600" t="s">
        <v>38</v>
      </c>
      <c r="M600" t="s">
        <v>18</v>
      </c>
      <c r="N600" t="s">
        <v>27</v>
      </c>
      <c r="O600">
        <v>4.4000000000000004</v>
      </c>
      <c r="P600" t="s">
        <v>46</v>
      </c>
      <c r="Q600">
        <v>2025</v>
      </c>
    </row>
    <row r="601" spans="1:17" hidden="1" x14ac:dyDescent="0.3">
      <c r="A601" t="s">
        <v>32</v>
      </c>
      <c r="B601" t="s">
        <v>764</v>
      </c>
      <c r="C601">
        <v>922</v>
      </c>
      <c r="D601">
        <v>4</v>
      </c>
      <c r="E601"/>
      <c r="F601">
        <v>1024</v>
      </c>
      <c r="G601">
        <v>108</v>
      </c>
      <c r="H601"/>
      <c r="I601">
        <v>5500</v>
      </c>
      <c r="J601">
        <v>7</v>
      </c>
      <c r="K601">
        <v>65</v>
      </c>
      <c r="L601" t="s">
        <v>38</v>
      </c>
      <c r="M601" t="s">
        <v>34</v>
      </c>
      <c r="N601" t="s">
        <v>61</v>
      </c>
      <c r="O601">
        <v>4.4000000000000004</v>
      </c>
      <c r="P601" t="s">
        <v>44</v>
      </c>
      <c r="Q601">
        <v>2025</v>
      </c>
    </row>
    <row r="602" spans="1:17" x14ac:dyDescent="0.3">
      <c r="A602" t="s">
        <v>40</v>
      </c>
      <c r="B602" t="s">
        <v>296</v>
      </c>
      <c r="C602">
        <v>1090</v>
      </c>
      <c r="D602">
        <v>6</v>
      </c>
      <c r="E602" s="8">
        <f>C602/D602</f>
        <v>181.66666666666666</v>
      </c>
      <c r="F602">
        <v>128</v>
      </c>
      <c r="G602">
        <v>200</v>
      </c>
      <c r="H602" s="8">
        <f>C602/G602</f>
        <v>5.45</v>
      </c>
      <c r="I602">
        <v>5000</v>
      </c>
      <c r="J602">
        <v>6.7</v>
      </c>
      <c r="K602">
        <v>18</v>
      </c>
      <c r="L602" t="s">
        <v>38</v>
      </c>
      <c r="M602" t="s">
        <v>18</v>
      </c>
      <c r="N602" t="s">
        <v>48</v>
      </c>
      <c r="O602">
        <v>4.4000000000000004</v>
      </c>
      <c r="P602" t="s">
        <v>24</v>
      </c>
      <c r="Q602">
        <v>2025</v>
      </c>
    </row>
    <row r="603" spans="1:17" hidden="1" x14ac:dyDescent="0.3">
      <c r="A603" t="s">
        <v>66</v>
      </c>
      <c r="B603" t="s">
        <v>898</v>
      </c>
      <c r="C603">
        <v>883</v>
      </c>
      <c r="D603">
        <v>4</v>
      </c>
      <c r="E603"/>
      <c r="F603">
        <v>64</v>
      </c>
      <c r="G603">
        <v>12</v>
      </c>
      <c r="H603"/>
      <c r="I603">
        <v>6000</v>
      </c>
      <c r="J603">
        <v>6.1</v>
      </c>
      <c r="K603">
        <v>44</v>
      </c>
      <c r="L603" t="s">
        <v>38</v>
      </c>
      <c r="M603" t="s">
        <v>18</v>
      </c>
      <c r="N603" t="s">
        <v>35</v>
      </c>
      <c r="O603">
        <v>4.4000000000000004</v>
      </c>
      <c r="P603" t="s">
        <v>46</v>
      </c>
      <c r="Q603">
        <v>2025</v>
      </c>
    </row>
    <row r="604" spans="1:17" hidden="1" x14ac:dyDescent="0.3">
      <c r="A604" t="s">
        <v>40</v>
      </c>
      <c r="B604" t="s">
        <v>785</v>
      </c>
      <c r="C604">
        <v>1410</v>
      </c>
      <c r="D604">
        <v>4</v>
      </c>
      <c r="E604" s="8">
        <f>C604/D604</f>
        <v>352.5</v>
      </c>
      <c r="F604">
        <v>128</v>
      </c>
      <c r="G604">
        <v>64</v>
      </c>
      <c r="H604" s="8">
        <f>C604/G604</f>
        <v>22.03125</v>
      </c>
      <c r="I604">
        <v>4000</v>
      </c>
      <c r="J604">
        <v>7.1</v>
      </c>
      <c r="K604">
        <v>18</v>
      </c>
      <c r="L604" t="s">
        <v>17</v>
      </c>
      <c r="M604" t="s">
        <v>18</v>
      </c>
      <c r="N604" t="s">
        <v>61</v>
      </c>
      <c r="O604">
        <v>4.4000000000000004</v>
      </c>
      <c r="P604" t="s">
        <v>44</v>
      </c>
      <c r="Q604">
        <v>2025</v>
      </c>
    </row>
    <row r="605" spans="1:17" hidden="1" x14ac:dyDescent="0.3">
      <c r="A605" t="s">
        <v>21</v>
      </c>
      <c r="B605" t="s">
        <v>22</v>
      </c>
      <c r="C605">
        <v>618</v>
      </c>
      <c r="D605">
        <v>6</v>
      </c>
      <c r="E605"/>
      <c r="F605">
        <v>128</v>
      </c>
      <c r="G605">
        <v>64</v>
      </c>
      <c r="H605"/>
      <c r="I605">
        <v>4500</v>
      </c>
      <c r="J605">
        <v>6.9</v>
      </c>
      <c r="K605">
        <v>100</v>
      </c>
      <c r="L605" t="s">
        <v>17</v>
      </c>
      <c r="M605" t="s">
        <v>18</v>
      </c>
      <c r="N605" t="s">
        <v>23</v>
      </c>
      <c r="O605">
        <v>4.4000000000000004</v>
      </c>
      <c r="P605" t="s">
        <v>24</v>
      </c>
      <c r="Q605">
        <v>2025</v>
      </c>
    </row>
    <row r="606" spans="1:17" x14ac:dyDescent="0.3">
      <c r="A606" t="s">
        <v>40</v>
      </c>
      <c r="B606" t="s">
        <v>949</v>
      </c>
      <c r="C606">
        <v>508</v>
      </c>
      <c r="D606">
        <v>6</v>
      </c>
      <c r="E606" s="8">
        <f t="shared" ref="E606:E607" si="56">C606/D606</f>
        <v>84.666666666666671</v>
      </c>
      <c r="F606">
        <v>64</v>
      </c>
      <c r="G606">
        <v>108</v>
      </c>
      <c r="H606" s="8">
        <f t="shared" ref="H606:H607" si="57">C606/G606</f>
        <v>4.7037037037037033</v>
      </c>
      <c r="I606">
        <v>6000</v>
      </c>
      <c r="J606">
        <v>5.9</v>
      </c>
      <c r="K606">
        <v>33</v>
      </c>
      <c r="L606" t="s">
        <v>38</v>
      </c>
      <c r="M606" t="s">
        <v>18</v>
      </c>
      <c r="N606" t="s">
        <v>61</v>
      </c>
      <c r="O606">
        <v>4.4000000000000004</v>
      </c>
      <c r="P606" t="s">
        <v>82</v>
      </c>
      <c r="Q606">
        <v>2025</v>
      </c>
    </row>
    <row r="607" spans="1:17" hidden="1" x14ac:dyDescent="0.3">
      <c r="A607" t="s">
        <v>32</v>
      </c>
      <c r="B607" t="s">
        <v>637</v>
      </c>
      <c r="C607">
        <v>1020</v>
      </c>
      <c r="D607">
        <v>8</v>
      </c>
      <c r="E607" s="8">
        <f t="shared" si="56"/>
        <v>127.5</v>
      </c>
      <c r="F607">
        <v>64</v>
      </c>
      <c r="G607">
        <v>108</v>
      </c>
      <c r="H607" s="8">
        <f t="shared" si="57"/>
        <v>9.4444444444444446</v>
      </c>
      <c r="I607">
        <v>6000</v>
      </c>
      <c r="J607">
        <v>6.2</v>
      </c>
      <c r="K607">
        <v>33</v>
      </c>
      <c r="L607" t="s">
        <v>17</v>
      </c>
      <c r="M607" t="s">
        <v>34</v>
      </c>
      <c r="N607" t="s">
        <v>48</v>
      </c>
      <c r="O607">
        <v>4.4000000000000004</v>
      </c>
      <c r="P607" t="s">
        <v>20</v>
      </c>
      <c r="Q607">
        <v>2025</v>
      </c>
    </row>
    <row r="608" spans="1:17" hidden="1" x14ac:dyDescent="0.3">
      <c r="A608" t="s">
        <v>66</v>
      </c>
      <c r="B608" t="s">
        <v>169</v>
      </c>
      <c r="C608">
        <v>952</v>
      </c>
      <c r="D608">
        <v>6</v>
      </c>
      <c r="E608"/>
      <c r="F608">
        <v>256</v>
      </c>
      <c r="G608">
        <v>50</v>
      </c>
      <c r="H608"/>
      <c r="I608">
        <v>4000</v>
      </c>
      <c r="J608">
        <v>7.1</v>
      </c>
      <c r="K608">
        <v>65</v>
      </c>
      <c r="L608" t="s">
        <v>38</v>
      </c>
      <c r="M608" t="s">
        <v>18</v>
      </c>
      <c r="N608" t="s">
        <v>35</v>
      </c>
      <c r="O608">
        <v>4.4000000000000004</v>
      </c>
      <c r="P608" t="s">
        <v>71</v>
      </c>
      <c r="Q608">
        <v>2025</v>
      </c>
    </row>
    <row r="609" spans="1:17" x14ac:dyDescent="0.3">
      <c r="A609" t="s">
        <v>25</v>
      </c>
      <c r="B609" t="s">
        <v>384</v>
      </c>
      <c r="C609">
        <v>800</v>
      </c>
      <c r="D609">
        <v>4</v>
      </c>
      <c r="E609" s="8">
        <f t="shared" ref="E609:E610" si="58">C609/D609</f>
        <v>200</v>
      </c>
      <c r="F609">
        <v>64</v>
      </c>
      <c r="G609">
        <v>12</v>
      </c>
      <c r="H609" s="8">
        <f t="shared" ref="H609:H610" si="59">C609/G609</f>
        <v>66.666666666666671</v>
      </c>
      <c r="I609">
        <v>5500</v>
      </c>
      <c r="J609">
        <v>6.3</v>
      </c>
      <c r="K609">
        <v>33</v>
      </c>
      <c r="L609" t="s">
        <v>38</v>
      </c>
      <c r="M609" t="s">
        <v>18</v>
      </c>
      <c r="N609" t="s">
        <v>48</v>
      </c>
      <c r="O609">
        <v>4.4000000000000004</v>
      </c>
      <c r="P609" t="s">
        <v>28</v>
      </c>
      <c r="Q609">
        <v>2025</v>
      </c>
    </row>
    <row r="610" spans="1:17" x14ac:dyDescent="0.3">
      <c r="A610" t="s">
        <v>21</v>
      </c>
      <c r="B610" t="s">
        <v>121</v>
      </c>
      <c r="C610">
        <v>804</v>
      </c>
      <c r="D610">
        <v>12</v>
      </c>
      <c r="E610" s="8">
        <f t="shared" si="58"/>
        <v>67</v>
      </c>
      <c r="F610">
        <v>1024</v>
      </c>
      <c r="G610">
        <v>50</v>
      </c>
      <c r="H610" s="8">
        <f t="shared" si="59"/>
        <v>16.079999999999998</v>
      </c>
      <c r="I610">
        <v>5000</v>
      </c>
      <c r="J610">
        <v>6.4</v>
      </c>
      <c r="K610">
        <v>33</v>
      </c>
      <c r="L610" t="s">
        <v>38</v>
      </c>
      <c r="M610" t="s">
        <v>18</v>
      </c>
      <c r="N610" t="s">
        <v>23</v>
      </c>
      <c r="O610">
        <v>4.4000000000000004</v>
      </c>
      <c r="P610" t="s">
        <v>56</v>
      </c>
      <c r="Q610">
        <v>2025</v>
      </c>
    </row>
    <row r="611" spans="1:17" hidden="1" x14ac:dyDescent="0.3">
      <c r="A611" t="s">
        <v>29</v>
      </c>
      <c r="B611" t="s">
        <v>337</v>
      </c>
      <c r="C611">
        <v>1417</v>
      </c>
      <c r="D611">
        <v>6</v>
      </c>
      <c r="E611"/>
      <c r="F611">
        <v>512</v>
      </c>
      <c r="G611">
        <v>200</v>
      </c>
      <c r="H611"/>
      <c r="I611">
        <v>6000</v>
      </c>
      <c r="J611">
        <v>5.6</v>
      </c>
      <c r="K611">
        <v>120</v>
      </c>
      <c r="L611" t="s">
        <v>38</v>
      </c>
      <c r="M611" t="s">
        <v>18</v>
      </c>
      <c r="N611" t="s">
        <v>48</v>
      </c>
      <c r="O611">
        <v>4.4000000000000004</v>
      </c>
      <c r="P611" t="s">
        <v>71</v>
      </c>
      <c r="Q611">
        <v>2025</v>
      </c>
    </row>
    <row r="612" spans="1:17" hidden="1" x14ac:dyDescent="0.3">
      <c r="A612" t="s">
        <v>15</v>
      </c>
      <c r="B612" t="s">
        <v>439</v>
      </c>
      <c r="C612">
        <v>289</v>
      </c>
      <c r="D612">
        <v>6</v>
      </c>
      <c r="E612"/>
      <c r="F612">
        <v>1024</v>
      </c>
      <c r="G612">
        <v>12</v>
      </c>
      <c r="H612"/>
      <c r="I612">
        <v>6000</v>
      </c>
      <c r="J612">
        <v>5.8</v>
      </c>
      <c r="K612">
        <v>100</v>
      </c>
      <c r="L612" t="s">
        <v>38</v>
      </c>
      <c r="M612" t="s">
        <v>18</v>
      </c>
      <c r="N612" t="s">
        <v>31</v>
      </c>
      <c r="O612">
        <v>4.4000000000000004</v>
      </c>
      <c r="P612" t="s">
        <v>64</v>
      </c>
      <c r="Q612">
        <v>2025</v>
      </c>
    </row>
    <row r="613" spans="1:17" hidden="1" x14ac:dyDescent="0.3">
      <c r="A613" t="s">
        <v>66</v>
      </c>
      <c r="B613" t="s">
        <v>468</v>
      </c>
      <c r="C613">
        <v>1129</v>
      </c>
      <c r="D613">
        <v>6</v>
      </c>
      <c r="E613"/>
      <c r="F613">
        <v>512</v>
      </c>
      <c r="G613">
        <v>64</v>
      </c>
      <c r="H613"/>
      <c r="I613">
        <v>4500</v>
      </c>
      <c r="J613">
        <v>6</v>
      </c>
      <c r="K613">
        <v>33</v>
      </c>
      <c r="L613" t="s">
        <v>38</v>
      </c>
      <c r="M613" t="s">
        <v>18</v>
      </c>
      <c r="N613" t="s">
        <v>51</v>
      </c>
      <c r="O613">
        <v>4.4000000000000004</v>
      </c>
      <c r="P613" t="s">
        <v>46</v>
      </c>
      <c r="Q613">
        <v>2025</v>
      </c>
    </row>
    <row r="614" spans="1:17" x14ac:dyDescent="0.3">
      <c r="A614" t="s">
        <v>32</v>
      </c>
      <c r="B614" t="s">
        <v>80</v>
      </c>
      <c r="C614">
        <v>1058</v>
      </c>
      <c r="D614">
        <v>4</v>
      </c>
      <c r="E614" s="8">
        <f>C614/D614</f>
        <v>264.5</v>
      </c>
      <c r="F614">
        <v>256</v>
      </c>
      <c r="G614">
        <v>50</v>
      </c>
      <c r="H614" s="8">
        <f>C614/G614</f>
        <v>21.16</v>
      </c>
      <c r="I614">
        <v>4500</v>
      </c>
      <c r="J614">
        <v>6.6</v>
      </c>
      <c r="K614">
        <v>33</v>
      </c>
      <c r="L614" t="s">
        <v>38</v>
      </c>
      <c r="M614" t="s">
        <v>34</v>
      </c>
      <c r="N614" t="s">
        <v>51</v>
      </c>
      <c r="O614">
        <v>4.4000000000000004</v>
      </c>
      <c r="P614" t="s">
        <v>71</v>
      </c>
      <c r="Q614">
        <v>2025</v>
      </c>
    </row>
    <row r="615" spans="1:17" hidden="1" x14ac:dyDescent="0.3">
      <c r="A615" t="s">
        <v>36</v>
      </c>
      <c r="B615" t="s">
        <v>648</v>
      </c>
      <c r="C615">
        <v>665</v>
      </c>
      <c r="D615">
        <v>6</v>
      </c>
      <c r="E615"/>
      <c r="F615">
        <v>1024</v>
      </c>
      <c r="G615">
        <v>48</v>
      </c>
      <c r="H615"/>
      <c r="I615">
        <v>6000</v>
      </c>
      <c r="J615">
        <v>6.9</v>
      </c>
      <c r="K615">
        <v>18</v>
      </c>
      <c r="L615" t="s">
        <v>38</v>
      </c>
      <c r="M615" t="s">
        <v>18</v>
      </c>
      <c r="N615" t="s">
        <v>31</v>
      </c>
      <c r="O615">
        <v>4.4000000000000004</v>
      </c>
      <c r="P615" t="s">
        <v>82</v>
      </c>
      <c r="Q615">
        <v>2025</v>
      </c>
    </row>
    <row r="616" spans="1:17" hidden="1" x14ac:dyDescent="0.3">
      <c r="A616" t="s">
        <v>15</v>
      </c>
      <c r="B616" t="s">
        <v>679</v>
      </c>
      <c r="C616">
        <v>413</v>
      </c>
      <c r="D616">
        <v>6</v>
      </c>
      <c r="E616"/>
      <c r="F616">
        <v>64</v>
      </c>
      <c r="G616">
        <v>200</v>
      </c>
      <c r="H616"/>
      <c r="I616">
        <v>4000</v>
      </c>
      <c r="J616">
        <v>7</v>
      </c>
      <c r="K616">
        <v>65</v>
      </c>
      <c r="L616" t="s">
        <v>17</v>
      </c>
      <c r="M616" t="s">
        <v>18</v>
      </c>
      <c r="N616" t="s">
        <v>31</v>
      </c>
      <c r="O616">
        <v>4.4000000000000004</v>
      </c>
      <c r="P616" t="s">
        <v>42</v>
      </c>
      <c r="Q616">
        <v>2025</v>
      </c>
    </row>
    <row r="617" spans="1:17" x14ac:dyDescent="0.3">
      <c r="A617" t="s">
        <v>15</v>
      </c>
      <c r="B617" t="s">
        <v>125</v>
      </c>
      <c r="C617">
        <v>102</v>
      </c>
      <c r="D617">
        <v>8</v>
      </c>
      <c r="E617" s="8">
        <f>C617/D617</f>
        <v>12.75</v>
      </c>
      <c r="F617">
        <v>128</v>
      </c>
      <c r="G617">
        <v>48</v>
      </c>
      <c r="H617" s="8">
        <f>C617/G617</f>
        <v>2.125</v>
      </c>
      <c r="I617">
        <v>5500</v>
      </c>
      <c r="J617">
        <v>7</v>
      </c>
      <c r="K617">
        <v>33</v>
      </c>
      <c r="L617" t="s">
        <v>38</v>
      </c>
      <c r="M617" t="s">
        <v>18</v>
      </c>
      <c r="N617" t="s">
        <v>31</v>
      </c>
      <c r="O617">
        <v>4.4000000000000004</v>
      </c>
      <c r="P617" t="s">
        <v>64</v>
      </c>
      <c r="Q617">
        <v>2025</v>
      </c>
    </row>
    <row r="618" spans="1:17" hidden="1" x14ac:dyDescent="0.3">
      <c r="A618" t="s">
        <v>29</v>
      </c>
      <c r="B618" t="s">
        <v>722</v>
      </c>
      <c r="C618">
        <v>779</v>
      </c>
      <c r="D618">
        <v>6</v>
      </c>
      <c r="E618"/>
      <c r="F618">
        <v>512</v>
      </c>
      <c r="G618">
        <v>64</v>
      </c>
      <c r="H618"/>
      <c r="I618">
        <v>4500</v>
      </c>
      <c r="J618">
        <v>6.7</v>
      </c>
      <c r="K618">
        <v>120</v>
      </c>
      <c r="L618" t="s">
        <v>17</v>
      </c>
      <c r="M618" t="s">
        <v>18</v>
      </c>
      <c r="N618" t="s">
        <v>19</v>
      </c>
      <c r="O618">
        <v>4.4000000000000004</v>
      </c>
      <c r="P618" t="s">
        <v>56</v>
      </c>
      <c r="Q618">
        <v>2025</v>
      </c>
    </row>
    <row r="619" spans="1:17" hidden="1" x14ac:dyDescent="0.3">
      <c r="A619" t="s">
        <v>21</v>
      </c>
      <c r="B619" t="s">
        <v>788</v>
      </c>
      <c r="C619">
        <v>1111</v>
      </c>
      <c r="D619">
        <v>6</v>
      </c>
      <c r="E619"/>
      <c r="F619">
        <v>256</v>
      </c>
      <c r="G619">
        <v>64</v>
      </c>
      <c r="H619"/>
      <c r="I619">
        <v>5000</v>
      </c>
      <c r="J619">
        <v>6.4</v>
      </c>
      <c r="K619">
        <v>44</v>
      </c>
      <c r="L619" t="s">
        <v>38</v>
      </c>
      <c r="M619" t="s">
        <v>18</v>
      </c>
      <c r="N619" t="s">
        <v>19</v>
      </c>
      <c r="O619">
        <v>4.4000000000000004</v>
      </c>
      <c r="P619" t="s">
        <v>82</v>
      </c>
      <c r="Q619">
        <v>2025</v>
      </c>
    </row>
    <row r="620" spans="1:17" x14ac:dyDescent="0.3">
      <c r="A620" t="s">
        <v>66</v>
      </c>
      <c r="B620" t="s">
        <v>142</v>
      </c>
      <c r="C620">
        <v>1230</v>
      </c>
      <c r="D620">
        <v>6</v>
      </c>
      <c r="E620" s="8">
        <f>C620/D620</f>
        <v>205</v>
      </c>
      <c r="F620">
        <v>128</v>
      </c>
      <c r="G620">
        <v>200</v>
      </c>
      <c r="H620" s="8">
        <f>C620/G620</f>
        <v>6.15</v>
      </c>
      <c r="I620">
        <v>4000</v>
      </c>
      <c r="J620">
        <v>5.6</v>
      </c>
      <c r="K620">
        <v>44</v>
      </c>
      <c r="L620" t="s">
        <v>38</v>
      </c>
      <c r="M620" t="s">
        <v>18</v>
      </c>
      <c r="N620" t="s">
        <v>19</v>
      </c>
      <c r="O620">
        <v>4.4000000000000004</v>
      </c>
      <c r="P620" t="s">
        <v>20</v>
      </c>
      <c r="Q620">
        <v>2025</v>
      </c>
    </row>
    <row r="621" spans="1:17" hidden="1" x14ac:dyDescent="0.3">
      <c r="A621" t="s">
        <v>36</v>
      </c>
      <c r="B621" t="s">
        <v>963</v>
      </c>
      <c r="C621">
        <v>147</v>
      </c>
      <c r="D621">
        <v>6</v>
      </c>
      <c r="E621"/>
      <c r="F621">
        <v>1024</v>
      </c>
      <c r="G621">
        <v>200</v>
      </c>
      <c r="H621"/>
      <c r="I621">
        <v>4500</v>
      </c>
      <c r="J621">
        <v>6.5</v>
      </c>
      <c r="K621">
        <v>120</v>
      </c>
      <c r="L621" t="s">
        <v>17</v>
      </c>
      <c r="M621" t="s">
        <v>18</v>
      </c>
      <c r="N621" t="s">
        <v>23</v>
      </c>
      <c r="O621">
        <v>4.4000000000000004</v>
      </c>
      <c r="P621" t="s">
        <v>71</v>
      </c>
      <c r="Q621">
        <v>2025</v>
      </c>
    </row>
    <row r="622" spans="1:17" hidden="1" x14ac:dyDescent="0.3">
      <c r="A622" t="s">
        <v>36</v>
      </c>
      <c r="B622" t="s">
        <v>1027</v>
      </c>
      <c r="C622">
        <v>1187</v>
      </c>
      <c r="D622">
        <v>6</v>
      </c>
      <c r="E622"/>
      <c r="F622">
        <v>128</v>
      </c>
      <c r="G622">
        <v>48</v>
      </c>
      <c r="H622"/>
      <c r="I622">
        <v>4500</v>
      </c>
      <c r="J622">
        <v>5.6</v>
      </c>
      <c r="K622">
        <v>100</v>
      </c>
      <c r="L622" t="s">
        <v>38</v>
      </c>
      <c r="M622" t="s">
        <v>18</v>
      </c>
      <c r="N622" t="s">
        <v>31</v>
      </c>
      <c r="O622">
        <v>4.4000000000000004</v>
      </c>
      <c r="P622" t="s">
        <v>42</v>
      </c>
      <c r="Q622">
        <v>2025</v>
      </c>
    </row>
    <row r="623" spans="1:17" hidden="1" x14ac:dyDescent="0.3">
      <c r="A623" t="s">
        <v>15</v>
      </c>
      <c r="B623" t="s">
        <v>1033</v>
      </c>
      <c r="C623">
        <v>178</v>
      </c>
      <c r="D623">
        <v>6</v>
      </c>
      <c r="E623"/>
      <c r="F623">
        <v>1024</v>
      </c>
      <c r="G623">
        <v>50</v>
      </c>
      <c r="H623"/>
      <c r="I623">
        <v>5000</v>
      </c>
      <c r="J623">
        <v>6.3</v>
      </c>
      <c r="K623">
        <v>120</v>
      </c>
      <c r="L623" t="s">
        <v>17</v>
      </c>
      <c r="M623" t="s">
        <v>18</v>
      </c>
      <c r="N623" t="s">
        <v>27</v>
      </c>
      <c r="O623">
        <v>4.4000000000000004</v>
      </c>
      <c r="P623" t="s">
        <v>64</v>
      </c>
      <c r="Q623">
        <v>2025</v>
      </c>
    </row>
    <row r="624" spans="1:17" hidden="1" x14ac:dyDescent="0.3">
      <c r="A624" t="s">
        <v>21</v>
      </c>
      <c r="B624" t="s">
        <v>47</v>
      </c>
      <c r="C624">
        <v>311</v>
      </c>
      <c r="D624">
        <v>8</v>
      </c>
      <c r="E624"/>
      <c r="F624">
        <v>1024</v>
      </c>
      <c r="G624">
        <v>50</v>
      </c>
      <c r="H624"/>
      <c r="I624">
        <v>5500</v>
      </c>
      <c r="J624">
        <v>6.9</v>
      </c>
      <c r="K624">
        <v>44</v>
      </c>
      <c r="L624" t="s">
        <v>17</v>
      </c>
      <c r="M624" t="s">
        <v>18</v>
      </c>
      <c r="N624" t="s">
        <v>48</v>
      </c>
      <c r="O624">
        <v>4.4000000000000004</v>
      </c>
      <c r="P624" t="s">
        <v>28</v>
      </c>
      <c r="Q624">
        <v>2025</v>
      </c>
    </row>
    <row r="625" spans="1:17" hidden="1" x14ac:dyDescent="0.3">
      <c r="A625" t="s">
        <v>49</v>
      </c>
      <c r="B625" t="s">
        <v>944</v>
      </c>
      <c r="C625">
        <v>1360</v>
      </c>
      <c r="D625">
        <v>16</v>
      </c>
      <c r="E625" s="8">
        <f t="shared" ref="E625:E626" si="60">C625/D625</f>
        <v>85</v>
      </c>
      <c r="F625">
        <v>1024</v>
      </c>
      <c r="G625">
        <v>48</v>
      </c>
      <c r="H625" s="8">
        <f t="shared" ref="H625:H626" si="61">C625/G625</f>
        <v>28.333333333333332</v>
      </c>
      <c r="I625">
        <v>5500</v>
      </c>
      <c r="J625">
        <v>6</v>
      </c>
      <c r="K625">
        <v>44</v>
      </c>
      <c r="L625" t="s">
        <v>17</v>
      </c>
      <c r="M625" t="s">
        <v>18</v>
      </c>
      <c r="N625" t="s">
        <v>48</v>
      </c>
      <c r="O625">
        <v>4.4000000000000004</v>
      </c>
      <c r="P625" t="s">
        <v>56</v>
      </c>
      <c r="Q625">
        <v>2025</v>
      </c>
    </row>
    <row r="626" spans="1:17" hidden="1" x14ac:dyDescent="0.3">
      <c r="A626" t="s">
        <v>32</v>
      </c>
      <c r="B626" t="s">
        <v>325</v>
      </c>
      <c r="C626">
        <v>1058</v>
      </c>
      <c r="D626">
        <v>4</v>
      </c>
      <c r="E626" s="8">
        <f t="shared" si="60"/>
        <v>264.5</v>
      </c>
      <c r="F626">
        <v>128</v>
      </c>
      <c r="G626">
        <v>108</v>
      </c>
      <c r="H626" s="8">
        <f t="shared" si="61"/>
        <v>9.7962962962962958</v>
      </c>
      <c r="I626">
        <v>5000</v>
      </c>
      <c r="J626">
        <v>6.8</v>
      </c>
      <c r="K626">
        <v>44</v>
      </c>
      <c r="L626" t="s">
        <v>17</v>
      </c>
      <c r="M626" t="s">
        <v>34</v>
      </c>
      <c r="N626" t="s">
        <v>23</v>
      </c>
      <c r="O626">
        <v>4.4000000000000004</v>
      </c>
      <c r="P626" t="s">
        <v>44</v>
      </c>
      <c r="Q626">
        <v>2025</v>
      </c>
    </row>
    <row r="627" spans="1:17" hidden="1" x14ac:dyDescent="0.3">
      <c r="A627" t="s">
        <v>66</v>
      </c>
      <c r="B627" t="s">
        <v>190</v>
      </c>
      <c r="C627">
        <v>951</v>
      </c>
      <c r="D627">
        <v>8</v>
      </c>
      <c r="E627"/>
      <c r="F627">
        <v>128</v>
      </c>
      <c r="G627">
        <v>48</v>
      </c>
      <c r="H627"/>
      <c r="I627">
        <v>5500</v>
      </c>
      <c r="J627">
        <v>6</v>
      </c>
      <c r="K627">
        <v>65</v>
      </c>
      <c r="L627" t="s">
        <v>17</v>
      </c>
      <c r="M627" t="s">
        <v>18</v>
      </c>
      <c r="N627" t="s">
        <v>48</v>
      </c>
      <c r="O627">
        <v>4.4000000000000004</v>
      </c>
      <c r="P627" t="s">
        <v>28</v>
      </c>
      <c r="Q627">
        <v>2025</v>
      </c>
    </row>
    <row r="628" spans="1:17" hidden="1" x14ac:dyDescent="0.3">
      <c r="A628" t="s">
        <v>29</v>
      </c>
      <c r="B628" t="s">
        <v>299</v>
      </c>
      <c r="C628">
        <v>467</v>
      </c>
      <c r="D628">
        <v>8</v>
      </c>
      <c r="E628"/>
      <c r="F628">
        <v>512</v>
      </c>
      <c r="G628">
        <v>48</v>
      </c>
      <c r="H628"/>
      <c r="I628">
        <v>4000</v>
      </c>
      <c r="J628">
        <v>6.5</v>
      </c>
      <c r="K628">
        <v>65</v>
      </c>
      <c r="L628" t="s">
        <v>38</v>
      </c>
      <c r="M628" t="s">
        <v>18</v>
      </c>
      <c r="N628" t="s">
        <v>48</v>
      </c>
      <c r="O628">
        <v>4.4000000000000004</v>
      </c>
      <c r="P628" t="s">
        <v>71</v>
      </c>
      <c r="Q628">
        <v>2025</v>
      </c>
    </row>
    <row r="629" spans="1:17" hidden="1" x14ac:dyDescent="0.3">
      <c r="A629" t="s">
        <v>40</v>
      </c>
      <c r="B629" t="s">
        <v>369</v>
      </c>
      <c r="C629">
        <v>851</v>
      </c>
      <c r="D629">
        <v>8</v>
      </c>
      <c r="E629"/>
      <c r="F629">
        <v>1024</v>
      </c>
      <c r="G629">
        <v>108</v>
      </c>
      <c r="H629"/>
      <c r="I629">
        <v>4000</v>
      </c>
      <c r="J629">
        <v>6.8</v>
      </c>
      <c r="K629">
        <v>18</v>
      </c>
      <c r="L629" t="s">
        <v>17</v>
      </c>
      <c r="M629" t="s">
        <v>18</v>
      </c>
      <c r="N629" t="s">
        <v>31</v>
      </c>
      <c r="O629">
        <v>4.4000000000000004</v>
      </c>
      <c r="P629" t="s">
        <v>54</v>
      </c>
      <c r="Q629">
        <v>2025</v>
      </c>
    </row>
    <row r="630" spans="1:17" hidden="1" x14ac:dyDescent="0.3">
      <c r="A630" t="s">
        <v>66</v>
      </c>
      <c r="B630" t="s">
        <v>540</v>
      </c>
      <c r="C630">
        <v>538</v>
      </c>
      <c r="D630">
        <v>8</v>
      </c>
      <c r="E630"/>
      <c r="F630">
        <v>64</v>
      </c>
      <c r="G630">
        <v>108</v>
      </c>
      <c r="H630"/>
      <c r="I630">
        <v>4000</v>
      </c>
      <c r="J630">
        <v>6.9</v>
      </c>
      <c r="K630">
        <v>120</v>
      </c>
      <c r="L630" t="s">
        <v>17</v>
      </c>
      <c r="M630" t="s">
        <v>18</v>
      </c>
      <c r="N630" t="s">
        <v>51</v>
      </c>
      <c r="O630">
        <v>4.4000000000000004</v>
      </c>
      <c r="P630" t="s">
        <v>42</v>
      </c>
      <c r="Q630">
        <v>2025</v>
      </c>
    </row>
    <row r="631" spans="1:17" hidden="1" x14ac:dyDescent="0.3">
      <c r="A631" t="s">
        <v>21</v>
      </c>
      <c r="B631" t="s">
        <v>622</v>
      </c>
      <c r="C631">
        <v>634</v>
      </c>
      <c r="D631">
        <v>8</v>
      </c>
      <c r="E631"/>
      <c r="F631">
        <v>64</v>
      </c>
      <c r="G631">
        <v>12</v>
      </c>
      <c r="H631"/>
      <c r="I631">
        <v>4000</v>
      </c>
      <c r="J631">
        <v>6.9</v>
      </c>
      <c r="K631">
        <v>65</v>
      </c>
      <c r="L631" t="s">
        <v>17</v>
      </c>
      <c r="M631" t="s">
        <v>18</v>
      </c>
      <c r="N631" t="s">
        <v>19</v>
      </c>
      <c r="O631">
        <v>4.4000000000000004</v>
      </c>
      <c r="P631" t="s">
        <v>56</v>
      </c>
      <c r="Q631">
        <v>2025</v>
      </c>
    </row>
    <row r="632" spans="1:17" x14ac:dyDescent="0.3">
      <c r="A632" t="s">
        <v>66</v>
      </c>
      <c r="B632" t="s">
        <v>946</v>
      </c>
      <c r="C632">
        <v>607</v>
      </c>
      <c r="D632">
        <v>12</v>
      </c>
      <c r="E632" s="8">
        <f>C632/D632</f>
        <v>50.583333333333336</v>
      </c>
      <c r="F632">
        <v>64</v>
      </c>
      <c r="G632">
        <v>200</v>
      </c>
      <c r="H632" s="8">
        <f>C632/G632</f>
        <v>3.0350000000000001</v>
      </c>
      <c r="I632">
        <v>4500</v>
      </c>
      <c r="J632">
        <v>7.1</v>
      </c>
      <c r="K632">
        <v>44</v>
      </c>
      <c r="L632" t="s">
        <v>38</v>
      </c>
      <c r="M632" t="s">
        <v>18</v>
      </c>
      <c r="N632" t="s">
        <v>35</v>
      </c>
      <c r="O632">
        <v>4.4000000000000004</v>
      </c>
      <c r="P632" t="s">
        <v>64</v>
      </c>
      <c r="Q632">
        <v>2025</v>
      </c>
    </row>
    <row r="633" spans="1:17" hidden="1" x14ac:dyDescent="0.3">
      <c r="A633" t="s">
        <v>66</v>
      </c>
      <c r="B633" t="s">
        <v>701</v>
      </c>
      <c r="C633">
        <v>664</v>
      </c>
      <c r="D633">
        <v>8</v>
      </c>
      <c r="E633"/>
      <c r="F633">
        <v>64</v>
      </c>
      <c r="G633">
        <v>50</v>
      </c>
      <c r="H633"/>
      <c r="I633">
        <v>4000</v>
      </c>
      <c r="J633">
        <v>6.8</v>
      </c>
      <c r="K633">
        <v>18</v>
      </c>
      <c r="L633" t="s">
        <v>17</v>
      </c>
      <c r="M633" t="s">
        <v>18</v>
      </c>
      <c r="N633" t="s">
        <v>19</v>
      </c>
      <c r="O633">
        <v>4.4000000000000004</v>
      </c>
      <c r="P633" t="s">
        <v>20</v>
      </c>
      <c r="Q633">
        <v>2025</v>
      </c>
    </row>
    <row r="634" spans="1:17" hidden="1" x14ac:dyDescent="0.3">
      <c r="A634" t="s">
        <v>32</v>
      </c>
      <c r="B634" t="s">
        <v>826</v>
      </c>
      <c r="C634">
        <v>1342</v>
      </c>
      <c r="D634">
        <v>8</v>
      </c>
      <c r="E634"/>
      <c r="F634">
        <v>512</v>
      </c>
      <c r="G634">
        <v>64</v>
      </c>
      <c r="H634"/>
      <c r="I634">
        <v>5500</v>
      </c>
      <c r="J634">
        <v>7.2</v>
      </c>
      <c r="K634">
        <v>120</v>
      </c>
      <c r="L634" t="s">
        <v>38</v>
      </c>
      <c r="M634" t="s">
        <v>34</v>
      </c>
      <c r="N634" t="s">
        <v>19</v>
      </c>
      <c r="O634">
        <v>4.4000000000000004</v>
      </c>
      <c r="P634" t="s">
        <v>44</v>
      </c>
      <c r="Q634">
        <v>2025</v>
      </c>
    </row>
    <row r="635" spans="1:17" hidden="1" x14ac:dyDescent="0.3">
      <c r="A635" t="s">
        <v>21</v>
      </c>
      <c r="B635" t="s">
        <v>1007</v>
      </c>
      <c r="C635">
        <v>221</v>
      </c>
      <c r="D635">
        <v>8</v>
      </c>
      <c r="E635"/>
      <c r="F635">
        <v>64</v>
      </c>
      <c r="G635">
        <v>50</v>
      </c>
      <c r="H635"/>
      <c r="I635">
        <v>5500</v>
      </c>
      <c r="J635">
        <v>5.5</v>
      </c>
      <c r="K635">
        <v>44</v>
      </c>
      <c r="L635" t="s">
        <v>17</v>
      </c>
      <c r="M635" t="s">
        <v>18</v>
      </c>
      <c r="N635" t="s">
        <v>23</v>
      </c>
      <c r="O635">
        <v>4.4000000000000004</v>
      </c>
      <c r="P635" t="s">
        <v>54</v>
      </c>
      <c r="Q635">
        <v>2025</v>
      </c>
    </row>
    <row r="636" spans="1:17" x14ac:dyDescent="0.3">
      <c r="A636" t="s">
        <v>32</v>
      </c>
      <c r="B636" t="s">
        <v>706</v>
      </c>
      <c r="C636">
        <v>602</v>
      </c>
      <c r="D636">
        <v>6</v>
      </c>
      <c r="E636" s="8">
        <f t="shared" ref="E636:E637" si="62">C636/D636</f>
        <v>100.33333333333333</v>
      </c>
      <c r="F636">
        <v>512</v>
      </c>
      <c r="G636">
        <v>108</v>
      </c>
      <c r="H636" s="8">
        <f t="shared" ref="H636:H637" si="63">C636/G636</f>
        <v>5.5740740740740744</v>
      </c>
      <c r="I636">
        <v>4500</v>
      </c>
      <c r="J636">
        <v>6.9</v>
      </c>
      <c r="K636">
        <v>65</v>
      </c>
      <c r="L636" t="s">
        <v>38</v>
      </c>
      <c r="M636" t="s">
        <v>34</v>
      </c>
      <c r="N636" t="s">
        <v>35</v>
      </c>
      <c r="O636">
        <v>4.4000000000000004</v>
      </c>
      <c r="P636" t="s">
        <v>71</v>
      </c>
      <c r="Q636">
        <v>2025</v>
      </c>
    </row>
    <row r="637" spans="1:17" x14ac:dyDescent="0.3">
      <c r="A637" t="s">
        <v>49</v>
      </c>
      <c r="B637" t="s">
        <v>86</v>
      </c>
      <c r="C637">
        <v>1403</v>
      </c>
      <c r="D637">
        <v>12</v>
      </c>
      <c r="E637" s="8">
        <f t="shared" si="62"/>
        <v>116.91666666666667</v>
      </c>
      <c r="F637">
        <v>256</v>
      </c>
      <c r="G637">
        <v>64</v>
      </c>
      <c r="H637" s="8">
        <f t="shared" si="63"/>
        <v>21.921875</v>
      </c>
      <c r="I637">
        <v>4500</v>
      </c>
      <c r="J637">
        <v>5.8</v>
      </c>
      <c r="K637">
        <v>100</v>
      </c>
      <c r="L637" t="s">
        <v>38</v>
      </c>
      <c r="M637" t="s">
        <v>18</v>
      </c>
      <c r="N637" t="s">
        <v>51</v>
      </c>
      <c r="O637">
        <v>4.4000000000000004</v>
      </c>
      <c r="P637" t="s">
        <v>64</v>
      </c>
      <c r="Q637">
        <v>2025</v>
      </c>
    </row>
    <row r="638" spans="1:17" hidden="1" x14ac:dyDescent="0.3">
      <c r="A638" t="s">
        <v>36</v>
      </c>
      <c r="B638" t="s">
        <v>139</v>
      </c>
      <c r="C638">
        <v>119</v>
      </c>
      <c r="D638">
        <v>12</v>
      </c>
      <c r="E638"/>
      <c r="F638">
        <v>64</v>
      </c>
      <c r="G638">
        <v>48</v>
      </c>
      <c r="H638"/>
      <c r="I638">
        <v>4000</v>
      </c>
      <c r="J638">
        <v>5.8</v>
      </c>
      <c r="K638">
        <v>65</v>
      </c>
      <c r="L638" t="s">
        <v>17</v>
      </c>
      <c r="M638" t="s">
        <v>18</v>
      </c>
      <c r="N638" t="s">
        <v>48</v>
      </c>
      <c r="O638">
        <v>4.4000000000000004</v>
      </c>
      <c r="P638" t="s">
        <v>54</v>
      </c>
      <c r="Q638">
        <v>2025</v>
      </c>
    </row>
    <row r="639" spans="1:17" hidden="1" x14ac:dyDescent="0.3">
      <c r="A639" t="s">
        <v>36</v>
      </c>
      <c r="B639" t="s">
        <v>177</v>
      </c>
      <c r="C639">
        <v>547</v>
      </c>
      <c r="D639">
        <v>12</v>
      </c>
      <c r="E639"/>
      <c r="F639">
        <v>256</v>
      </c>
      <c r="G639">
        <v>200</v>
      </c>
      <c r="H639"/>
      <c r="I639">
        <v>4000</v>
      </c>
      <c r="J639">
        <v>6.6</v>
      </c>
      <c r="K639">
        <v>65</v>
      </c>
      <c r="L639" t="s">
        <v>17</v>
      </c>
      <c r="M639" t="s">
        <v>18</v>
      </c>
      <c r="N639" t="s">
        <v>51</v>
      </c>
      <c r="O639">
        <v>4.4000000000000004</v>
      </c>
      <c r="P639" t="s">
        <v>39</v>
      </c>
      <c r="Q639">
        <v>2025</v>
      </c>
    </row>
    <row r="640" spans="1:17" hidden="1" x14ac:dyDescent="0.3">
      <c r="A640" t="s">
        <v>49</v>
      </c>
      <c r="B640" t="s">
        <v>295</v>
      </c>
      <c r="C640">
        <v>316</v>
      </c>
      <c r="D640">
        <v>12</v>
      </c>
      <c r="E640"/>
      <c r="F640">
        <v>128</v>
      </c>
      <c r="G640">
        <v>108</v>
      </c>
      <c r="H640"/>
      <c r="I640">
        <v>5000</v>
      </c>
      <c r="J640">
        <v>6.4</v>
      </c>
      <c r="K640">
        <v>120</v>
      </c>
      <c r="L640" t="s">
        <v>17</v>
      </c>
      <c r="M640" t="s">
        <v>18</v>
      </c>
      <c r="N640" t="s">
        <v>31</v>
      </c>
      <c r="O640">
        <v>4.4000000000000004</v>
      </c>
      <c r="P640" t="s">
        <v>42</v>
      </c>
      <c r="Q640">
        <v>2025</v>
      </c>
    </row>
    <row r="641" spans="1:17" hidden="1" x14ac:dyDescent="0.3">
      <c r="A641" t="s">
        <v>32</v>
      </c>
      <c r="B641" t="s">
        <v>389</v>
      </c>
      <c r="C641">
        <v>582</v>
      </c>
      <c r="D641">
        <v>12</v>
      </c>
      <c r="E641"/>
      <c r="F641">
        <v>512</v>
      </c>
      <c r="G641">
        <v>200</v>
      </c>
      <c r="H641"/>
      <c r="I641">
        <v>6000</v>
      </c>
      <c r="J641">
        <v>5.9</v>
      </c>
      <c r="K641">
        <v>33</v>
      </c>
      <c r="L641" t="s">
        <v>17</v>
      </c>
      <c r="M641" t="s">
        <v>34</v>
      </c>
      <c r="N641" t="s">
        <v>31</v>
      </c>
      <c r="O641">
        <v>4.4000000000000004</v>
      </c>
      <c r="P641" t="s">
        <v>82</v>
      </c>
      <c r="Q641">
        <v>2025</v>
      </c>
    </row>
    <row r="642" spans="1:17" x14ac:dyDescent="0.3">
      <c r="A642" t="s">
        <v>36</v>
      </c>
      <c r="B642" t="s">
        <v>585</v>
      </c>
      <c r="C642">
        <v>1064</v>
      </c>
      <c r="D642">
        <v>6</v>
      </c>
      <c r="E642" s="8">
        <f>C642/D642</f>
        <v>177.33333333333334</v>
      </c>
      <c r="F642">
        <v>512</v>
      </c>
      <c r="G642">
        <v>200</v>
      </c>
      <c r="H642" s="8">
        <f>C642/G642</f>
        <v>5.32</v>
      </c>
      <c r="I642">
        <v>6000</v>
      </c>
      <c r="J642">
        <v>6</v>
      </c>
      <c r="K642">
        <v>100</v>
      </c>
      <c r="L642" t="s">
        <v>38</v>
      </c>
      <c r="M642" t="s">
        <v>18</v>
      </c>
      <c r="N642" t="s">
        <v>23</v>
      </c>
      <c r="O642">
        <v>4.4000000000000004</v>
      </c>
      <c r="P642" t="s">
        <v>54</v>
      </c>
      <c r="Q642">
        <v>2025</v>
      </c>
    </row>
    <row r="643" spans="1:17" hidden="1" x14ac:dyDescent="0.3">
      <c r="A643" t="s">
        <v>32</v>
      </c>
      <c r="B643" t="s">
        <v>472</v>
      </c>
      <c r="C643">
        <v>1466</v>
      </c>
      <c r="D643">
        <v>12</v>
      </c>
      <c r="E643"/>
      <c r="F643">
        <v>256</v>
      </c>
      <c r="G643">
        <v>108</v>
      </c>
      <c r="H643"/>
      <c r="I643">
        <v>4000</v>
      </c>
      <c r="J643">
        <v>6.1</v>
      </c>
      <c r="K643">
        <v>33</v>
      </c>
      <c r="L643" t="s">
        <v>17</v>
      </c>
      <c r="M643" t="s">
        <v>34</v>
      </c>
      <c r="N643" t="s">
        <v>61</v>
      </c>
      <c r="O643">
        <v>4.4000000000000004</v>
      </c>
      <c r="P643" t="s">
        <v>54</v>
      </c>
      <c r="Q643">
        <v>2025</v>
      </c>
    </row>
    <row r="644" spans="1:17" hidden="1" x14ac:dyDescent="0.3">
      <c r="A644" t="s">
        <v>25</v>
      </c>
      <c r="B644" t="s">
        <v>543</v>
      </c>
      <c r="C644">
        <v>997</v>
      </c>
      <c r="D644">
        <v>12</v>
      </c>
      <c r="E644"/>
      <c r="F644">
        <v>1024</v>
      </c>
      <c r="G644">
        <v>200</v>
      </c>
      <c r="H644"/>
      <c r="I644">
        <v>5000</v>
      </c>
      <c r="J644">
        <v>5.5</v>
      </c>
      <c r="K644">
        <v>18</v>
      </c>
      <c r="L644" t="s">
        <v>38</v>
      </c>
      <c r="M644" t="s">
        <v>18</v>
      </c>
      <c r="N644" t="s">
        <v>61</v>
      </c>
      <c r="O644">
        <v>4.4000000000000004</v>
      </c>
      <c r="P644" t="s">
        <v>71</v>
      </c>
      <c r="Q644">
        <v>2025</v>
      </c>
    </row>
    <row r="645" spans="1:17" hidden="1" x14ac:dyDescent="0.3">
      <c r="A645" t="s">
        <v>66</v>
      </c>
      <c r="B645" t="s">
        <v>673</v>
      </c>
      <c r="C645">
        <v>1458</v>
      </c>
      <c r="D645">
        <v>12</v>
      </c>
      <c r="E645"/>
      <c r="F645">
        <v>128</v>
      </c>
      <c r="G645">
        <v>200</v>
      </c>
      <c r="H645"/>
      <c r="I645">
        <v>5500</v>
      </c>
      <c r="J645">
        <v>6.7</v>
      </c>
      <c r="K645">
        <v>18</v>
      </c>
      <c r="L645" t="s">
        <v>38</v>
      </c>
      <c r="M645" t="s">
        <v>18</v>
      </c>
      <c r="N645" t="s">
        <v>51</v>
      </c>
      <c r="O645">
        <v>4.4000000000000004</v>
      </c>
      <c r="P645" t="s">
        <v>39</v>
      </c>
      <c r="Q645">
        <v>2025</v>
      </c>
    </row>
    <row r="646" spans="1:17" hidden="1" x14ac:dyDescent="0.3">
      <c r="A646" t="s">
        <v>49</v>
      </c>
      <c r="B646" t="s">
        <v>676</v>
      </c>
      <c r="C646">
        <v>375</v>
      </c>
      <c r="D646">
        <v>12</v>
      </c>
      <c r="E646"/>
      <c r="F646">
        <v>512</v>
      </c>
      <c r="G646">
        <v>50</v>
      </c>
      <c r="H646"/>
      <c r="I646">
        <v>5000</v>
      </c>
      <c r="J646">
        <v>7</v>
      </c>
      <c r="K646">
        <v>120</v>
      </c>
      <c r="L646" t="s">
        <v>38</v>
      </c>
      <c r="M646" t="s">
        <v>18</v>
      </c>
      <c r="N646" t="s">
        <v>31</v>
      </c>
      <c r="O646">
        <v>4.4000000000000004</v>
      </c>
      <c r="P646" t="s">
        <v>39</v>
      </c>
      <c r="Q646">
        <v>2025</v>
      </c>
    </row>
    <row r="647" spans="1:17" hidden="1" x14ac:dyDescent="0.3">
      <c r="A647" t="s">
        <v>32</v>
      </c>
      <c r="B647" t="s">
        <v>712</v>
      </c>
      <c r="C647">
        <v>1163</v>
      </c>
      <c r="D647">
        <v>12</v>
      </c>
      <c r="E647"/>
      <c r="F647">
        <v>128</v>
      </c>
      <c r="G647">
        <v>108</v>
      </c>
      <c r="H647"/>
      <c r="I647">
        <v>6000</v>
      </c>
      <c r="J647">
        <v>5.5</v>
      </c>
      <c r="K647">
        <v>120</v>
      </c>
      <c r="L647" t="s">
        <v>38</v>
      </c>
      <c r="M647" t="s">
        <v>34</v>
      </c>
      <c r="N647" t="s">
        <v>23</v>
      </c>
      <c r="O647">
        <v>4.4000000000000004</v>
      </c>
      <c r="P647" t="s">
        <v>71</v>
      </c>
      <c r="Q647">
        <v>2025</v>
      </c>
    </row>
    <row r="648" spans="1:17" hidden="1" x14ac:dyDescent="0.3">
      <c r="A648" t="s">
        <v>49</v>
      </c>
      <c r="B648" t="s">
        <v>760</v>
      </c>
      <c r="C648">
        <v>218</v>
      </c>
      <c r="D648">
        <v>12</v>
      </c>
      <c r="E648"/>
      <c r="F648">
        <v>256</v>
      </c>
      <c r="G648">
        <v>108</v>
      </c>
      <c r="H648"/>
      <c r="I648">
        <v>4500</v>
      </c>
      <c r="J648">
        <v>6.6</v>
      </c>
      <c r="K648">
        <v>65</v>
      </c>
      <c r="L648" t="s">
        <v>38</v>
      </c>
      <c r="M648" t="s">
        <v>18</v>
      </c>
      <c r="N648" t="s">
        <v>61</v>
      </c>
      <c r="O648">
        <v>4.4000000000000004</v>
      </c>
      <c r="P648" t="s">
        <v>71</v>
      </c>
      <c r="Q648">
        <v>2025</v>
      </c>
    </row>
    <row r="649" spans="1:17" hidden="1" x14ac:dyDescent="0.3">
      <c r="A649" t="s">
        <v>25</v>
      </c>
      <c r="B649" t="s">
        <v>806</v>
      </c>
      <c r="C649">
        <v>1462</v>
      </c>
      <c r="D649">
        <v>12</v>
      </c>
      <c r="E649"/>
      <c r="F649">
        <v>128</v>
      </c>
      <c r="G649">
        <v>200</v>
      </c>
      <c r="H649"/>
      <c r="I649">
        <v>6000</v>
      </c>
      <c r="J649">
        <v>6.5</v>
      </c>
      <c r="K649">
        <v>18</v>
      </c>
      <c r="L649" t="s">
        <v>17</v>
      </c>
      <c r="M649" t="s">
        <v>18</v>
      </c>
      <c r="N649" t="s">
        <v>19</v>
      </c>
      <c r="O649">
        <v>4.4000000000000004</v>
      </c>
      <c r="P649" t="s">
        <v>24</v>
      </c>
      <c r="Q649">
        <v>2025</v>
      </c>
    </row>
    <row r="650" spans="1:17" hidden="1" x14ac:dyDescent="0.3">
      <c r="A650" t="s">
        <v>36</v>
      </c>
      <c r="B650" t="s">
        <v>892</v>
      </c>
      <c r="C650">
        <v>523</v>
      </c>
      <c r="D650">
        <v>12</v>
      </c>
      <c r="E650"/>
      <c r="F650">
        <v>512</v>
      </c>
      <c r="G650">
        <v>50</v>
      </c>
      <c r="H650"/>
      <c r="I650">
        <v>6000</v>
      </c>
      <c r="J650">
        <v>6.9</v>
      </c>
      <c r="K650">
        <v>100</v>
      </c>
      <c r="L650" t="s">
        <v>17</v>
      </c>
      <c r="M650" t="s">
        <v>18</v>
      </c>
      <c r="N650" t="s">
        <v>19</v>
      </c>
      <c r="O650">
        <v>4.4000000000000004</v>
      </c>
      <c r="P650" t="s">
        <v>44</v>
      </c>
      <c r="Q650">
        <v>2025</v>
      </c>
    </row>
    <row r="651" spans="1:17" hidden="1" x14ac:dyDescent="0.3">
      <c r="A651" t="s">
        <v>32</v>
      </c>
      <c r="B651" t="s">
        <v>897</v>
      </c>
      <c r="C651">
        <v>1127</v>
      </c>
      <c r="D651">
        <v>12</v>
      </c>
      <c r="E651"/>
      <c r="F651">
        <v>64</v>
      </c>
      <c r="G651">
        <v>108</v>
      </c>
      <c r="H651"/>
      <c r="I651">
        <v>5000</v>
      </c>
      <c r="J651">
        <v>5.9</v>
      </c>
      <c r="K651">
        <v>44</v>
      </c>
      <c r="L651" t="s">
        <v>38</v>
      </c>
      <c r="M651" t="s">
        <v>34</v>
      </c>
      <c r="N651" t="s">
        <v>35</v>
      </c>
      <c r="O651">
        <v>4.4000000000000004</v>
      </c>
      <c r="P651" t="s">
        <v>42</v>
      </c>
      <c r="Q651">
        <v>2025</v>
      </c>
    </row>
    <row r="652" spans="1:17" hidden="1" x14ac:dyDescent="0.3">
      <c r="A652" t="s">
        <v>32</v>
      </c>
      <c r="B652" t="s">
        <v>444</v>
      </c>
      <c r="C652">
        <v>1460</v>
      </c>
      <c r="D652">
        <v>12</v>
      </c>
      <c r="E652" s="8">
        <f>C652/D652</f>
        <v>121.66666666666667</v>
      </c>
      <c r="F652">
        <v>64</v>
      </c>
      <c r="G652">
        <v>200</v>
      </c>
      <c r="H652" s="8">
        <f>C652/G652</f>
        <v>7.3</v>
      </c>
      <c r="I652">
        <v>6000</v>
      </c>
      <c r="J652">
        <v>5.6</v>
      </c>
      <c r="K652">
        <v>120</v>
      </c>
      <c r="L652" t="s">
        <v>17</v>
      </c>
      <c r="M652" t="s">
        <v>34</v>
      </c>
      <c r="N652" t="s">
        <v>27</v>
      </c>
      <c r="O652">
        <v>4.4000000000000004</v>
      </c>
      <c r="P652" t="s">
        <v>46</v>
      </c>
      <c r="Q652">
        <v>2025</v>
      </c>
    </row>
    <row r="653" spans="1:17" hidden="1" x14ac:dyDescent="0.3">
      <c r="A653" t="s">
        <v>32</v>
      </c>
      <c r="B653" t="s">
        <v>967</v>
      </c>
      <c r="C653">
        <v>259</v>
      </c>
      <c r="D653">
        <v>12</v>
      </c>
      <c r="E653"/>
      <c r="F653">
        <v>1024</v>
      </c>
      <c r="G653">
        <v>64</v>
      </c>
      <c r="H653"/>
      <c r="I653">
        <v>5500</v>
      </c>
      <c r="J653">
        <v>5.6</v>
      </c>
      <c r="K653">
        <v>44</v>
      </c>
      <c r="L653" t="s">
        <v>17</v>
      </c>
      <c r="M653" t="s">
        <v>34</v>
      </c>
      <c r="N653" t="s">
        <v>35</v>
      </c>
      <c r="O653">
        <v>4.4000000000000004</v>
      </c>
      <c r="P653" t="s">
        <v>71</v>
      </c>
      <c r="Q653">
        <v>2025</v>
      </c>
    </row>
    <row r="654" spans="1:17" hidden="1" x14ac:dyDescent="0.3">
      <c r="A654" t="s">
        <v>15</v>
      </c>
      <c r="B654" t="s">
        <v>976</v>
      </c>
      <c r="C654">
        <v>1492</v>
      </c>
      <c r="D654">
        <v>12</v>
      </c>
      <c r="E654"/>
      <c r="F654">
        <v>1024</v>
      </c>
      <c r="G654">
        <v>48</v>
      </c>
      <c r="H654"/>
      <c r="I654">
        <v>6000</v>
      </c>
      <c r="J654">
        <v>6.7</v>
      </c>
      <c r="K654">
        <v>100</v>
      </c>
      <c r="L654" t="s">
        <v>38</v>
      </c>
      <c r="M654" t="s">
        <v>18</v>
      </c>
      <c r="N654" t="s">
        <v>61</v>
      </c>
      <c r="O654">
        <v>4.4000000000000004</v>
      </c>
      <c r="P654" t="s">
        <v>46</v>
      </c>
      <c r="Q654">
        <v>2025</v>
      </c>
    </row>
    <row r="655" spans="1:17" hidden="1" x14ac:dyDescent="0.3">
      <c r="A655" t="s">
        <v>25</v>
      </c>
      <c r="B655" t="s">
        <v>108</v>
      </c>
      <c r="C655">
        <v>241</v>
      </c>
      <c r="D655">
        <v>16</v>
      </c>
      <c r="E655"/>
      <c r="F655">
        <v>512</v>
      </c>
      <c r="G655">
        <v>48</v>
      </c>
      <c r="H655"/>
      <c r="I655">
        <v>5500</v>
      </c>
      <c r="J655">
        <v>6.5</v>
      </c>
      <c r="K655">
        <v>100</v>
      </c>
      <c r="L655" t="s">
        <v>38</v>
      </c>
      <c r="M655" t="s">
        <v>18</v>
      </c>
      <c r="N655" t="s">
        <v>48</v>
      </c>
      <c r="O655">
        <v>4.4000000000000004</v>
      </c>
      <c r="P655" t="s">
        <v>44</v>
      </c>
      <c r="Q655">
        <v>2025</v>
      </c>
    </row>
    <row r="656" spans="1:17" hidden="1" x14ac:dyDescent="0.3">
      <c r="A656" t="s">
        <v>21</v>
      </c>
      <c r="B656" t="s">
        <v>161</v>
      </c>
      <c r="C656">
        <v>714</v>
      </c>
      <c r="D656">
        <v>16</v>
      </c>
      <c r="E656"/>
      <c r="F656">
        <v>128</v>
      </c>
      <c r="G656">
        <v>50</v>
      </c>
      <c r="H656"/>
      <c r="I656">
        <v>4000</v>
      </c>
      <c r="J656">
        <v>5.5</v>
      </c>
      <c r="K656">
        <v>100</v>
      </c>
      <c r="L656" t="s">
        <v>38</v>
      </c>
      <c r="M656" t="s">
        <v>18</v>
      </c>
      <c r="N656" t="s">
        <v>27</v>
      </c>
      <c r="O656">
        <v>4.4000000000000004</v>
      </c>
      <c r="P656" t="s">
        <v>64</v>
      </c>
      <c r="Q656">
        <v>2025</v>
      </c>
    </row>
    <row r="657" spans="1:17" hidden="1" x14ac:dyDescent="0.3">
      <c r="A657" t="s">
        <v>40</v>
      </c>
      <c r="B657" t="s">
        <v>385</v>
      </c>
      <c r="C657">
        <v>1485</v>
      </c>
      <c r="D657">
        <v>16</v>
      </c>
      <c r="E657"/>
      <c r="F657">
        <v>512</v>
      </c>
      <c r="G657">
        <v>48</v>
      </c>
      <c r="H657"/>
      <c r="I657">
        <v>5000</v>
      </c>
      <c r="J657">
        <v>6.5</v>
      </c>
      <c r="K657">
        <v>33</v>
      </c>
      <c r="L657" t="s">
        <v>38</v>
      </c>
      <c r="M657" t="s">
        <v>18</v>
      </c>
      <c r="N657" t="s">
        <v>51</v>
      </c>
      <c r="O657">
        <v>4.4000000000000004</v>
      </c>
      <c r="P657" t="s">
        <v>46</v>
      </c>
      <c r="Q657">
        <v>2025</v>
      </c>
    </row>
    <row r="658" spans="1:17" hidden="1" x14ac:dyDescent="0.3">
      <c r="A658" t="s">
        <v>66</v>
      </c>
      <c r="B658" t="s">
        <v>414</v>
      </c>
      <c r="C658">
        <v>253</v>
      </c>
      <c r="D658">
        <v>16</v>
      </c>
      <c r="E658"/>
      <c r="F658">
        <v>256</v>
      </c>
      <c r="G658">
        <v>12</v>
      </c>
      <c r="H658"/>
      <c r="I658">
        <v>4500</v>
      </c>
      <c r="J658">
        <v>6.7</v>
      </c>
      <c r="K658">
        <v>120</v>
      </c>
      <c r="L658" t="s">
        <v>17</v>
      </c>
      <c r="M658" t="s">
        <v>18</v>
      </c>
      <c r="N658" t="s">
        <v>23</v>
      </c>
      <c r="O658">
        <v>4.4000000000000004</v>
      </c>
      <c r="P658" t="s">
        <v>39</v>
      </c>
      <c r="Q658">
        <v>2025</v>
      </c>
    </row>
    <row r="659" spans="1:17" hidden="1" x14ac:dyDescent="0.3">
      <c r="A659" t="s">
        <v>29</v>
      </c>
      <c r="B659" t="s">
        <v>541</v>
      </c>
      <c r="C659">
        <v>918</v>
      </c>
      <c r="D659">
        <v>16</v>
      </c>
      <c r="E659"/>
      <c r="F659">
        <v>1024</v>
      </c>
      <c r="G659">
        <v>200</v>
      </c>
      <c r="H659"/>
      <c r="I659">
        <v>4000</v>
      </c>
      <c r="J659">
        <v>7.1</v>
      </c>
      <c r="K659">
        <v>65</v>
      </c>
      <c r="L659" t="s">
        <v>17</v>
      </c>
      <c r="M659" t="s">
        <v>18</v>
      </c>
      <c r="N659" t="s">
        <v>61</v>
      </c>
      <c r="O659">
        <v>4.4000000000000004</v>
      </c>
      <c r="P659" t="s">
        <v>28</v>
      </c>
      <c r="Q659">
        <v>2025</v>
      </c>
    </row>
    <row r="660" spans="1:17" hidden="1" x14ac:dyDescent="0.3">
      <c r="A660" t="s">
        <v>49</v>
      </c>
      <c r="B660" t="s">
        <v>640</v>
      </c>
      <c r="C660">
        <v>447</v>
      </c>
      <c r="D660">
        <v>16</v>
      </c>
      <c r="E660"/>
      <c r="F660">
        <v>512</v>
      </c>
      <c r="G660">
        <v>48</v>
      </c>
      <c r="H660"/>
      <c r="I660">
        <v>5500</v>
      </c>
      <c r="J660">
        <v>6.2</v>
      </c>
      <c r="K660">
        <v>65</v>
      </c>
      <c r="L660" t="s">
        <v>17</v>
      </c>
      <c r="M660" t="s">
        <v>18</v>
      </c>
      <c r="N660" t="s">
        <v>51</v>
      </c>
      <c r="O660">
        <v>4.4000000000000004</v>
      </c>
      <c r="P660" t="s">
        <v>54</v>
      </c>
      <c r="Q660">
        <v>2025</v>
      </c>
    </row>
    <row r="661" spans="1:17" hidden="1" x14ac:dyDescent="0.3">
      <c r="A661" t="s">
        <v>40</v>
      </c>
      <c r="B661" t="s">
        <v>873</v>
      </c>
      <c r="C661">
        <v>885</v>
      </c>
      <c r="D661">
        <v>16</v>
      </c>
      <c r="E661"/>
      <c r="F661">
        <v>64</v>
      </c>
      <c r="G661">
        <v>48</v>
      </c>
      <c r="H661"/>
      <c r="I661">
        <v>4000</v>
      </c>
      <c r="J661">
        <v>7.2</v>
      </c>
      <c r="K661">
        <v>18</v>
      </c>
      <c r="L661" t="s">
        <v>17</v>
      </c>
      <c r="M661" t="s">
        <v>18</v>
      </c>
      <c r="N661" t="s">
        <v>61</v>
      </c>
      <c r="O661">
        <v>4.4000000000000004</v>
      </c>
      <c r="P661" t="s">
        <v>54</v>
      </c>
      <c r="Q661">
        <v>2025</v>
      </c>
    </row>
    <row r="662" spans="1:17" hidden="1" x14ac:dyDescent="0.3">
      <c r="A662" t="s">
        <v>15</v>
      </c>
      <c r="B662" t="s">
        <v>890</v>
      </c>
      <c r="C662">
        <v>1249</v>
      </c>
      <c r="D662">
        <v>16</v>
      </c>
      <c r="E662"/>
      <c r="F662">
        <v>1024</v>
      </c>
      <c r="G662">
        <v>108</v>
      </c>
      <c r="H662"/>
      <c r="I662">
        <v>6000</v>
      </c>
      <c r="J662">
        <v>6.1</v>
      </c>
      <c r="K662">
        <v>120</v>
      </c>
      <c r="L662" t="s">
        <v>17</v>
      </c>
      <c r="M662" t="s">
        <v>18</v>
      </c>
      <c r="N662" t="s">
        <v>19</v>
      </c>
      <c r="O662">
        <v>4.4000000000000004</v>
      </c>
      <c r="P662" t="s">
        <v>24</v>
      </c>
      <c r="Q662">
        <v>2025</v>
      </c>
    </row>
    <row r="663" spans="1:17" hidden="1" x14ac:dyDescent="0.3">
      <c r="A663" t="s">
        <v>40</v>
      </c>
      <c r="B663" t="s">
        <v>904</v>
      </c>
      <c r="C663">
        <v>646</v>
      </c>
      <c r="D663">
        <v>16</v>
      </c>
      <c r="E663"/>
      <c r="F663">
        <v>128</v>
      </c>
      <c r="G663">
        <v>64</v>
      </c>
      <c r="H663"/>
      <c r="I663">
        <v>6000</v>
      </c>
      <c r="J663">
        <v>6.5</v>
      </c>
      <c r="K663">
        <v>100</v>
      </c>
      <c r="L663" t="s">
        <v>17</v>
      </c>
      <c r="M663" t="s">
        <v>18</v>
      </c>
      <c r="N663" t="s">
        <v>19</v>
      </c>
      <c r="O663">
        <v>4.4000000000000004</v>
      </c>
      <c r="P663" t="s">
        <v>44</v>
      </c>
      <c r="Q663">
        <v>2025</v>
      </c>
    </row>
    <row r="664" spans="1:17" x14ac:dyDescent="0.3">
      <c r="A664" t="s">
        <v>32</v>
      </c>
      <c r="B664" t="s">
        <v>52</v>
      </c>
      <c r="C664">
        <v>1077</v>
      </c>
      <c r="D664">
        <v>8</v>
      </c>
      <c r="E664" s="8">
        <f>C664/D664</f>
        <v>134.625</v>
      </c>
      <c r="F664">
        <v>128</v>
      </c>
      <c r="G664">
        <v>48</v>
      </c>
      <c r="H664" s="8">
        <f>C664/G664</f>
        <v>22.4375</v>
      </c>
      <c r="I664">
        <v>6000</v>
      </c>
      <c r="J664">
        <v>7.1</v>
      </c>
      <c r="K664">
        <v>120</v>
      </c>
      <c r="L664" t="s">
        <v>38</v>
      </c>
      <c r="M664" t="s">
        <v>34</v>
      </c>
      <c r="N664" t="s">
        <v>51</v>
      </c>
      <c r="O664">
        <v>4.4000000000000004</v>
      </c>
      <c r="P664" t="s">
        <v>24</v>
      </c>
      <c r="Q664">
        <v>2025</v>
      </c>
    </row>
    <row r="665" spans="1:17" hidden="1" x14ac:dyDescent="0.3">
      <c r="A665" t="s">
        <v>32</v>
      </c>
      <c r="B665" t="s">
        <v>971</v>
      </c>
      <c r="C665">
        <v>1441</v>
      </c>
      <c r="D665">
        <v>16</v>
      </c>
      <c r="E665"/>
      <c r="F665">
        <v>128</v>
      </c>
      <c r="G665">
        <v>200</v>
      </c>
      <c r="H665"/>
      <c r="I665">
        <v>4000</v>
      </c>
      <c r="J665">
        <v>7</v>
      </c>
      <c r="K665">
        <v>65</v>
      </c>
      <c r="L665" t="s">
        <v>38</v>
      </c>
      <c r="M665" t="s">
        <v>34</v>
      </c>
      <c r="N665" t="s">
        <v>51</v>
      </c>
      <c r="O665">
        <v>4.4000000000000004</v>
      </c>
      <c r="P665" t="s">
        <v>56</v>
      </c>
      <c r="Q665">
        <v>2025</v>
      </c>
    </row>
    <row r="666" spans="1:17" hidden="1" x14ac:dyDescent="0.3">
      <c r="A666" t="s">
        <v>29</v>
      </c>
      <c r="B666" t="s">
        <v>996</v>
      </c>
      <c r="C666">
        <v>246</v>
      </c>
      <c r="D666">
        <v>16</v>
      </c>
      <c r="E666"/>
      <c r="F666">
        <v>128</v>
      </c>
      <c r="G666">
        <v>50</v>
      </c>
      <c r="H666"/>
      <c r="I666">
        <v>4000</v>
      </c>
      <c r="J666">
        <v>5.9</v>
      </c>
      <c r="K666">
        <v>100</v>
      </c>
      <c r="L666" t="s">
        <v>38</v>
      </c>
      <c r="M666" t="s">
        <v>18</v>
      </c>
      <c r="N666" t="s">
        <v>19</v>
      </c>
      <c r="O666">
        <v>4.4000000000000004</v>
      </c>
      <c r="P666" t="s">
        <v>28</v>
      </c>
      <c r="Q666">
        <v>2025</v>
      </c>
    </row>
    <row r="667" spans="1:17" hidden="1" x14ac:dyDescent="0.3">
      <c r="A667" t="s">
        <v>15</v>
      </c>
      <c r="B667" t="s">
        <v>146</v>
      </c>
      <c r="C667">
        <v>258</v>
      </c>
      <c r="D667">
        <v>4</v>
      </c>
      <c r="E667"/>
      <c r="F667">
        <v>256</v>
      </c>
      <c r="G667">
        <v>108</v>
      </c>
      <c r="H667"/>
      <c r="I667">
        <v>5500</v>
      </c>
      <c r="J667">
        <v>7.2</v>
      </c>
      <c r="K667">
        <v>18</v>
      </c>
      <c r="L667" t="s">
        <v>17</v>
      </c>
      <c r="M667" t="s">
        <v>18</v>
      </c>
      <c r="N667" t="s">
        <v>19</v>
      </c>
      <c r="O667">
        <v>4.5</v>
      </c>
      <c r="P667" t="s">
        <v>71</v>
      </c>
      <c r="Q667">
        <v>2025</v>
      </c>
    </row>
    <row r="668" spans="1:17" hidden="1" x14ac:dyDescent="0.3">
      <c r="A668" t="s">
        <v>40</v>
      </c>
      <c r="B668" t="s">
        <v>168</v>
      </c>
      <c r="C668">
        <v>1394</v>
      </c>
      <c r="D668">
        <v>4</v>
      </c>
      <c r="E668"/>
      <c r="F668">
        <v>1024</v>
      </c>
      <c r="G668">
        <v>12</v>
      </c>
      <c r="H668"/>
      <c r="I668">
        <v>4500</v>
      </c>
      <c r="J668">
        <v>6.9</v>
      </c>
      <c r="K668">
        <v>18</v>
      </c>
      <c r="L668" t="s">
        <v>38</v>
      </c>
      <c r="M668" t="s">
        <v>18</v>
      </c>
      <c r="N668" t="s">
        <v>51</v>
      </c>
      <c r="O668">
        <v>4.5</v>
      </c>
      <c r="P668" t="s">
        <v>71</v>
      </c>
      <c r="Q668">
        <v>2025</v>
      </c>
    </row>
    <row r="669" spans="1:17" hidden="1" x14ac:dyDescent="0.3">
      <c r="A669" t="s">
        <v>21</v>
      </c>
      <c r="B669" t="s">
        <v>192</v>
      </c>
      <c r="C669">
        <v>752</v>
      </c>
      <c r="D669">
        <v>4</v>
      </c>
      <c r="E669"/>
      <c r="F669">
        <v>1024</v>
      </c>
      <c r="G669">
        <v>12</v>
      </c>
      <c r="H669"/>
      <c r="I669">
        <v>5000</v>
      </c>
      <c r="J669">
        <v>6.6</v>
      </c>
      <c r="K669">
        <v>120</v>
      </c>
      <c r="L669" t="s">
        <v>38</v>
      </c>
      <c r="M669" t="s">
        <v>18</v>
      </c>
      <c r="N669" t="s">
        <v>51</v>
      </c>
      <c r="O669">
        <v>4.5</v>
      </c>
      <c r="P669" t="s">
        <v>54</v>
      </c>
      <c r="Q669">
        <v>2025</v>
      </c>
    </row>
    <row r="670" spans="1:17" hidden="1" x14ac:dyDescent="0.3">
      <c r="A670" t="s">
        <v>40</v>
      </c>
      <c r="B670" t="s">
        <v>220</v>
      </c>
      <c r="C670">
        <v>1065</v>
      </c>
      <c r="D670">
        <v>4</v>
      </c>
      <c r="E670" s="8">
        <f t="shared" ref="E670:E673" si="64">C670/D670</f>
        <v>266.25</v>
      </c>
      <c r="F670">
        <v>1024</v>
      </c>
      <c r="G670">
        <v>200</v>
      </c>
      <c r="H670" s="8">
        <f t="shared" ref="H670:H673" si="65">C670/G670</f>
        <v>5.3250000000000002</v>
      </c>
      <c r="I670">
        <v>6000</v>
      </c>
      <c r="J670">
        <v>6.2</v>
      </c>
      <c r="K670">
        <v>33</v>
      </c>
      <c r="L670" t="s">
        <v>17</v>
      </c>
      <c r="M670" t="s">
        <v>18</v>
      </c>
      <c r="N670" t="s">
        <v>27</v>
      </c>
      <c r="O670">
        <v>4.5</v>
      </c>
      <c r="P670" t="s">
        <v>64</v>
      </c>
      <c r="Q670">
        <v>2025</v>
      </c>
    </row>
    <row r="671" spans="1:17" hidden="1" x14ac:dyDescent="0.3">
      <c r="A671" t="s">
        <v>36</v>
      </c>
      <c r="B671" t="s">
        <v>388</v>
      </c>
      <c r="C671">
        <v>508</v>
      </c>
      <c r="D671">
        <v>6</v>
      </c>
      <c r="E671" s="8">
        <f t="shared" si="64"/>
        <v>84.666666666666671</v>
      </c>
      <c r="F671">
        <v>1024</v>
      </c>
      <c r="G671">
        <v>12</v>
      </c>
      <c r="H671" s="8">
        <f t="shared" si="65"/>
        <v>42.333333333333336</v>
      </c>
      <c r="I671">
        <v>4500</v>
      </c>
      <c r="J671">
        <v>6.6</v>
      </c>
      <c r="K671">
        <v>33</v>
      </c>
      <c r="L671" t="s">
        <v>17</v>
      </c>
      <c r="M671" t="s">
        <v>18</v>
      </c>
      <c r="N671" t="s">
        <v>27</v>
      </c>
      <c r="O671">
        <v>4.5</v>
      </c>
      <c r="P671" t="s">
        <v>28</v>
      </c>
      <c r="Q671">
        <v>2025</v>
      </c>
    </row>
    <row r="672" spans="1:17" hidden="1" x14ac:dyDescent="0.3">
      <c r="A672" t="s">
        <v>29</v>
      </c>
      <c r="B672" t="s">
        <v>1000</v>
      </c>
      <c r="C672">
        <v>1069</v>
      </c>
      <c r="D672">
        <v>6</v>
      </c>
      <c r="E672" s="8">
        <f t="shared" si="64"/>
        <v>178.16666666666666</v>
      </c>
      <c r="F672">
        <v>1024</v>
      </c>
      <c r="G672">
        <v>50</v>
      </c>
      <c r="H672" s="8">
        <f t="shared" si="65"/>
        <v>21.38</v>
      </c>
      <c r="I672">
        <v>5500</v>
      </c>
      <c r="J672">
        <v>6.7</v>
      </c>
      <c r="K672">
        <v>44</v>
      </c>
      <c r="L672" t="s">
        <v>17</v>
      </c>
      <c r="M672" t="s">
        <v>18</v>
      </c>
      <c r="N672" t="s">
        <v>51</v>
      </c>
      <c r="O672">
        <v>4.5</v>
      </c>
      <c r="P672" t="s">
        <v>64</v>
      </c>
      <c r="Q672">
        <v>2025</v>
      </c>
    </row>
    <row r="673" spans="1:17" x14ac:dyDescent="0.3">
      <c r="A673" t="s">
        <v>66</v>
      </c>
      <c r="B673" t="s">
        <v>327</v>
      </c>
      <c r="C673">
        <v>1098</v>
      </c>
      <c r="D673">
        <v>4</v>
      </c>
      <c r="E673" s="8">
        <f t="shared" si="64"/>
        <v>274.5</v>
      </c>
      <c r="F673">
        <v>128</v>
      </c>
      <c r="G673">
        <v>12</v>
      </c>
      <c r="H673" s="8">
        <f t="shared" si="65"/>
        <v>91.5</v>
      </c>
      <c r="I673">
        <v>5000</v>
      </c>
      <c r="J673">
        <v>7</v>
      </c>
      <c r="K673">
        <v>65</v>
      </c>
      <c r="L673" t="s">
        <v>38</v>
      </c>
      <c r="M673" t="s">
        <v>18</v>
      </c>
      <c r="N673" t="s">
        <v>23</v>
      </c>
      <c r="O673">
        <v>4.5</v>
      </c>
      <c r="P673" t="s">
        <v>28</v>
      </c>
      <c r="Q673">
        <v>2025</v>
      </c>
    </row>
    <row r="674" spans="1:17" hidden="1" x14ac:dyDescent="0.3">
      <c r="A674" t="s">
        <v>32</v>
      </c>
      <c r="B674" t="s">
        <v>411</v>
      </c>
      <c r="C674">
        <v>937</v>
      </c>
      <c r="D674">
        <v>4</v>
      </c>
      <c r="E674"/>
      <c r="F674">
        <v>1024</v>
      </c>
      <c r="G674">
        <v>12</v>
      </c>
      <c r="H674"/>
      <c r="I674">
        <v>6000</v>
      </c>
      <c r="J674">
        <v>6.3</v>
      </c>
      <c r="K674">
        <v>100</v>
      </c>
      <c r="L674" t="s">
        <v>17</v>
      </c>
      <c r="M674" t="s">
        <v>34</v>
      </c>
      <c r="N674" t="s">
        <v>19</v>
      </c>
      <c r="O674">
        <v>4.5</v>
      </c>
      <c r="P674" t="s">
        <v>42</v>
      </c>
      <c r="Q674">
        <v>2025</v>
      </c>
    </row>
    <row r="675" spans="1:17" hidden="1" x14ac:dyDescent="0.3">
      <c r="A675" t="s">
        <v>32</v>
      </c>
      <c r="B675" t="s">
        <v>438</v>
      </c>
      <c r="C675">
        <v>661</v>
      </c>
      <c r="D675">
        <v>4</v>
      </c>
      <c r="E675"/>
      <c r="F675">
        <v>256</v>
      </c>
      <c r="G675">
        <v>200</v>
      </c>
      <c r="H675"/>
      <c r="I675">
        <v>4000</v>
      </c>
      <c r="J675">
        <v>6.5</v>
      </c>
      <c r="K675">
        <v>120</v>
      </c>
      <c r="L675" t="s">
        <v>17</v>
      </c>
      <c r="M675" t="s">
        <v>34</v>
      </c>
      <c r="N675" t="s">
        <v>19</v>
      </c>
      <c r="O675">
        <v>4.5</v>
      </c>
      <c r="P675" t="s">
        <v>54</v>
      </c>
      <c r="Q675">
        <v>2025</v>
      </c>
    </row>
    <row r="676" spans="1:17" hidden="1" x14ac:dyDescent="0.3">
      <c r="A676" t="s">
        <v>21</v>
      </c>
      <c r="B676" t="s">
        <v>481</v>
      </c>
      <c r="C676">
        <v>779</v>
      </c>
      <c r="D676">
        <v>4</v>
      </c>
      <c r="E676"/>
      <c r="F676">
        <v>64</v>
      </c>
      <c r="G676">
        <v>48</v>
      </c>
      <c r="H676"/>
      <c r="I676">
        <v>5000</v>
      </c>
      <c r="J676">
        <v>6.9</v>
      </c>
      <c r="K676">
        <v>33</v>
      </c>
      <c r="L676" t="s">
        <v>17</v>
      </c>
      <c r="M676" t="s">
        <v>18</v>
      </c>
      <c r="N676" t="s">
        <v>31</v>
      </c>
      <c r="O676">
        <v>4.5</v>
      </c>
      <c r="P676" t="s">
        <v>24</v>
      </c>
      <c r="Q676">
        <v>2025</v>
      </c>
    </row>
    <row r="677" spans="1:17" hidden="1" x14ac:dyDescent="0.3">
      <c r="A677" t="s">
        <v>15</v>
      </c>
      <c r="B677" t="s">
        <v>646</v>
      </c>
      <c r="C677">
        <v>933</v>
      </c>
      <c r="D677">
        <v>4</v>
      </c>
      <c r="E677"/>
      <c r="F677">
        <v>512</v>
      </c>
      <c r="G677">
        <v>108</v>
      </c>
      <c r="H677"/>
      <c r="I677">
        <v>4500</v>
      </c>
      <c r="J677">
        <v>5.9</v>
      </c>
      <c r="K677">
        <v>18</v>
      </c>
      <c r="L677" t="s">
        <v>38</v>
      </c>
      <c r="M677" t="s">
        <v>18</v>
      </c>
      <c r="N677" t="s">
        <v>48</v>
      </c>
      <c r="O677">
        <v>4.5</v>
      </c>
      <c r="P677" t="s">
        <v>20</v>
      </c>
      <c r="Q677">
        <v>2025</v>
      </c>
    </row>
    <row r="678" spans="1:17" hidden="1" x14ac:dyDescent="0.3">
      <c r="A678" t="s">
        <v>66</v>
      </c>
      <c r="B678" t="s">
        <v>989</v>
      </c>
      <c r="C678">
        <v>718</v>
      </c>
      <c r="D678">
        <v>4</v>
      </c>
      <c r="E678"/>
      <c r="F678">
        <v>64</v>
      </c>
      <c r="G678">
        <v>50</v>
      </c>
      <c r="H678"/>
      <c r="I678">
        <v>4000</v>
      </c>
      <c r="J678">
        <v>7.1</v>
      </c>
      <c r="K678">
        <v>100</v>
      </c>
      <c r="L678" t="s">
        <v>38</v>
      </c>
      <c r="M678" t="s">
        <v>18</v>
      </c>
      <c r="N678" t="s">
        <v>35</v>
      </c>
      <c r="O678">
        <v>4.5</v>
      </c>
      <c r="P678" t="s">
        <v>82</v>
      </c>
      <c r="Q678">
        <v>2025</v>
      </c>
    </row>
    <row r="679" spans="1:17" hidden="1" x14ac:dyDescent="0.3">
      <c r="A679" t="s">
        <v>21</v>
      </c>
      <c r="B679" t="s">
        <v>91</v>
      </c>
      <c r="C679">
        <v>361</v>
      </c>
      <c r="D679">
        <v>6</v>
      </c>
      <c r="E679"/>
      <c r="F679">
        <v>256</v>
      </c>
      <c r="G679">
        <v>108</v>
      </c>
      <c r="H679"/>
      <c r="I679">
        <v>4000</v>
      </c>
      <c r="J679">
        <v>6.1</v>
      </c>
      <c r="K679">
        <v>33</v>
      </c>
      <c r="L679" t="s">
        <v>38</v>
      </c>
      <c r="M679" t="s">
        <v>18</v>
      </c>
      <c r="N679" t="s">
        <v>51</v>
      </c>
      <c r="O679">
        <v>4.5</v>
      </c>
      <c r="P679" t="s">
        <v>44</v>
      </c>
      <c r="Q679">
        <v>2025</v>
      </c>
    </row>
    <row r="680" spans="1:17" hidden="1" x14ac:dyDescent="0.3">
      <c r="A680" t="s">
        <v>40</v>
      </c>
      <c r="B680" t="s">
        <v>122</v>
      </c>
      <c r="C680">
        <v>738</v>
      </c>
      <c r="D680">
        <v>6</v>
      </c>
      <c r="E680"/>
      <c r="F680">
        <v>512</v>
      </c>
      <c r="G680">
        <v>108</v>
      </c>
      <c r="H680"/>
      <c r="I680">
        <v>5000</v>
      </c>
      <c r="J680">
        <v>6.8</v>
      </c>
      <c r="K680">
        <v>100</v>
      </c>
      <c r="L680" t="s">
        <v>38</v>
      </c>
      <c r="M680" t="s">
        <v>18</v>
      </c>
      <c r="N680" t="s">
        <v>35</v>
      </c>
      <c r="O680">
        <v>4.5</v>
      </c>
      <c r="P680" t="s">
        <v>64</v>
      </c>
      <c r="Q680">
        <v>2025</v>
      </c>
    </row>
    <row r="681" spans="1:17" hidden="1" x14ac:dyDescent="0.3">
      <c r="A681" t="s">
        <v>40</v>
      </c>
      <c r="B681" t="s">
        <v>263</v>
      </c>
      <c r="C681">
        <v>184</v>
      </c>
      <c r="D681">
        <v>6</v>
      </c>
      <c r="E681"/>
      <c r="F681">
        <v>512</v>
      </c>
      <c r="G681">
        <v>12</v>
      </c>
      <c r="H681"/>
      <c r="I681">
        <v>4500</v>
      </c>
      <c r="J681">
        <v>6.9</v>
      </c>
      <c r="K681">
        <v>120</v>
      </c>
      <c r="L681" t="s">
        <v>17</v>
      </c>
      <c r="M681" t="s">
        <v>18</v>
      </c>
      <c r="N681" t="s">
        <v>51</v>
      </c>
      <c r="O681">
        <v>4.5</v>
      </c>
      <c r="P681" t="s">
        <v>71</v>
      </c>
      <c r="Q681">
        <v>2025</v>
      </c>
    </row>
    <row r="682" spans="1:17" hidden="1" x14ac:dyDescent="0.3">
      <c r="A682" t="s">
        <v>66</v>
      </c>
      <c r="B682" t="s">
        <v>314</v>
      </c>
      <c r="C682">
        <v>225</v>
      </c>
      <c r="D682">
        <v>6</v>
      </c>
      <c r="E682"/>
      <c r="F682">
        <v>1024</v>
      </c>
      <c r="G682">
        <v>108</v>
      </c>
      <c r="H682"/>
      <c r="I682">
        <v>5000</v>
      </c>
      <c r="J682">
        <v>7</v>
      </c>
      <c r="K682">
        <v>33</v>
      </c>
      <c r="L682" t="s">
        <v>38</v>
      </c>
      <c r="M682" t="s">
        <v>18</v>
      </c>
      <c r="N682" t="s">
        <v>48</v>
      </c>
      <c r="O682">
        <v>4.5</v>
      </c>
      <c r="P682" t="s">
        <v>82</v>
      </c>
      <c r="Q682">
        <v>2025</v>
      </c>
    </row>
    <row r="683" spans="1:17" hidden="1" x14ac:dyDescent="0.3">
      <c r="A683" t="s">
        <v>32</v>
      </c>
      <c r="B683" t="s">
        <v>328</v>
      </c>
      <c r="C683">
        <v>164</v>
      </c>
      <c r="D683">
        <v>6</v>
      </c>
      <c r="E683"/>
      <c r="F683">
        <v>512</v>
      </c>
      <c r="G683">
        <v>48</v>
      </c>
      <c r="H683"/>
      <c r="I683">
        <v>4000</v>
      </c>
      <c r="J683">
        <v>6.6</v>
      </c>
      <c r="K683">
        <v>33</v>
      </c>
      <c r="L683" t="s">
        <v>38</v>
      </c>
      <c r="M683" t="s">
        <v>34</v>
      </c>
      <c r="N683" t="s">
        <v>48</v>
      </c>
      <c r="O683">
        <v>4.5</v>
      </c>
      <c r="P683" t="s">
        <v>54</v>
      </c>
      <c r="Q683">
        <v>2025</v>
      </c>
    </row>
    <row r="684" spans="1:17" hidden="1" x14ac:dyDescent="0.3">
      <c r="A684" t="s">
        <v>25</v>
      </c>
      <c r="B684" t="s">
        <v>625</v>
      </c>
      <c r="C684">
        <v>380</v>
      </c>
      <c r="D684">
        <v>8</v>
      </c>
      <c r="E684" s="8">
        <f>C684/D684</f>
        <v>47.5</v>
      </c>
      <c r="F684">
        <v>64</v>
      </c>
      <c r="G684">
        <v>48</v>
      </c>
      <c r="H684" s="8">
        <f>C684/G684</f>
        <v>7.916666666666667</v>
      </c>
      <c r="I684">
        <v>5000</v>
      </c>
      <c r="J684">
        <v>7.2</v>
      </c>
      <c r="K684">
        <v>65</v>
      </c>
      <c r="L684" t="s">
        <v>17</v>
      </c>
      <c r="M684" t="s">
        <v>18</v>
      </c>
      <c r="N684" t="s">
        <v>23</v>
      </c>
      <c r="O684">
        <v>4.5</v>
      </c>
      <c r="P684" t="s">
        <v>46</v>
      </c>
      <c r="Q684">
        <v>2025</v>
      </c>
    </row>
    <row r="685" spans="1:17" hidden="1" x14ac:dyDescent="0.3">
      <c r="A685" t="s">
        <v>49</v>
      </c>
      <c r="B685" t="s">
        <v>417</v>
      </c>
      <c r="C685">
        <v>748</v>
      </c>
      <c r="D685">
        <v>6</v>
      </c>
      <c r="E685"/>
      <c r="F685">
        <v>256</v>
      </c>
      <c r="G685">
        <v>50</v>
      </c>
      <c r="H685"/>
      <c r="I685">
        <v>4000</v>
      </c>
      <c r="J685">
        <v>7</v>
      </c>
      <c r="K685">
        <v>33</v>
      </c>
      <c r="L685" t="s">
        <v>38</v>
      </c>
      <c r="M685" t="s">
        <v>18</v>
      </c>
      <c r="N685" t="s">
        <v>51</v>
      </c>
      <c r="O685">
        <v>4.5</v>
      </c>
      <c r="P685" t="s">
        <v>56</v>
      </c>
      <c r="Q685">
        <v>2025</v>
      </c>
    </row>
    <row r="686" spans="1:17" hidden="1" x14ac:dyDescent="0.3">
      <c r="A686" t="s">
        <v>21</v>
      </c>
      <c r="B686" t="s">
        <v>835</v>
      </c>
      <c r="C686">
        <v>1433</v>
      </c>
      <c r="D686">
        <v>6</v>
      </c>
      <c r="E686"/>
      <c r="F686">
        <v>1024</v>
      </c>
      <c r="G686">
        <v>64</v>
      </c>
      <c r="H686"/>
      <c r="I686">
        <v>4500</v>
      </c>
      <c r="J686">
        <v>5.8</v>
      </c>
      <c r="K686">
        <v>100</v>
      </c>
      <c r="L686" t="s">
        <v>38</v>
      </c>
      <c r="M686" t="s">
        <v>18</v>
      </c>
      <c r="N686" t="s">
        <v>27</v>
      </c>
      <c r="O686">
        <v>4.5</v>
      </c>
      <c r="P686" t="s">
        <v>54</v>
      </c>
      <c r="Q686">
        <v>2025</v>
      </c>
    </row>
    <row r="687" spans="1:17" hidden="1" x14ac:dyDescent="0.3">
      <c r="A687" t="s">
        <v>15</v>
      </c>
      <c r="B687" t="s">
        <v>854</v>
      </c>
      <c r="C687">
        <v>118</v>
      </c>
      <c r="D687">
        <v>6</v>
      </c>
      <c r="E687"/>
      <c r="F687">
        <v>1024</v>
      </c>
      <c r="G687">
        <v>12</v>
      </c>
      <c r="H687"/>
      <c r="I687">
        <v>5500</v>
      </c>
      <c r="J687">
        <v>6.6</v>
      </c>
      <c r="K687">
        <v>65</v>
      </c>
      <c r="L687" t="s">
        <v>17</v>
      </c>
      <c r="M687" t="s">
        <v>18</v>
      </c>
      <c r="N687" t="s">
        <v>48</v>
      </c>
      <c r="O687">
        <v>4.5</v>
      </c>
      <c r="P687" t="s">
        <v>64</v>
      </c>
      <c r="Q687">
        <v>2025</v>
      </c>
    </row>
    <row r="688" spans="1:17" x14ac:dyDescent="0.3">
      <c r="A688" t="s">
        <v>36</v>
      </c>
      <c r="B688" t="s">
        <v>377</v>
      </c>
      <c r="C688">
        <v>702</v>
      </c>
      <c r="D688">
        <v>4</v>
      </c>
      <c r="E688" s="8">
        <f>C688/D688</f>
        <v>175.5</v>
      </c>
      <c r="F688">
        <v>64</v>
      </c>
      <c r="G688">
        <v>108</v>
      </c>
      <c r="H688" s="8">
        <f>C688/G688</f>
        <v>6.5</v>
      </c>
      <c r="I688">
        <v>5000</v>
      </c>
      <c r="J688">
        <v>5.7</v>
      </c>
      <c r="K688">
        <v>100</v>
      </c>
      <c r="L688" t="s">
        <v>38</v>
      </c>
      <c r="M688" t="s">
        <v>18</v>
      </c>
      <c r="N688" t="s">
        <v>19</v>
      </c>
      <c r="O688">
        <v>4.5</v>
      </c>
      <c r="P688" t="s">
        <v>39</v>
      </c>
      <c r="Q688">
        <v>2025</v>
      </c>
    </row>
    <row r="689" spans="1:17" hidden="1" x14ac:dyDescent="0.3">
      <c r="A689" t="s">
        <v>40</v>
      </c>
      <c r="B689" t="s">
        <v>145</v>
      </c>
      <c r="C689">
        <v>666</v>
      </c>
      <c r="D689">
        <v>8</v>
      </c>
      <c r="E689"/>
      <c r="F689">
        <v>64</v>
      </c>
      <c r="G689">
        <v>48</v>
      </c>
      <c r="H689"/>
      <c r="I689">
        <v>4500</v>
      </c>
      <c r="J689">
        <v>6.8</v>
      </c>
      <c r="K689">
        <v>44</v>
      </c>
      <c r="L689" t="s">
        <v>17</v>
      </c>
      <c r="M689" t="s">
        <v>18</v>
      </c>
      <c r="N689" t="s">
        <v>19</v>
      </c>
      <c r="O689">
        <v>4.5</v>
      </c>
      <c r="P689" t="s">
        <v>82</v>
      </c>
      <c r="Q689">
        <v>2025</v>
      </c>
    </row>
    <row r="690" spans="1:17" hidden="1" x14ac:dyDescent="0.3">
      <c r="A690" t="s">
        <v>15</v>
      </c>
      <c r="B690" t="s">
        <v>173</v>
      </c>
      <c r="C690">
        <v>316</v>
      </c>
      <c r="D690">
        <v>8</v>
      </c>
      <c r="E690"/>
      <c r="F690">
        <v>512</v>
      </c>
      <c r="G690">
        <v>64</v>
      </c>
      <c r="H690"/>
      <c r="I690">
        <v>4000</v>
      </c>
      <c r="J690">
        <v>6.6</v>
      </c>
      <c r="K690">
        <v>33</v>
      </c>
      <c r="L690" t="s">
        <v>38</v>
      </c>
      <c r="M690" t="s">
        <v>18</v>
      </c>
      <c r="N690" t="s">
        <v>27</v>
      </c>
      <c r="O690">
        <v>4.5</v>
      </c>
      <c r="P690" t="s">
        <v>82</v>
      </c>
      <c r="Q690">
        <v>2025</v>
      </c>
    </row>
    <row r="691" spans="1:17" hidden="1" x14ac:dyDescent="0.3">
      <c r="A691" t="s">
        <v>15</v>
      </c>
      <c r="B691" t="s">
        <v>179</v>
      </c>
      <c r="C691">
        <v>386</v>
      </c>
      <c r="D691">
        <v>8</v>
      </c>
      <c r="E691"/>
      <c r="F691">
        <v>128</v>
      </c>
      <c r="G691">
        <v>12</v>
      </c>
      <c r="H691"/>
      <c r="I691">
        <v>4500</v>
      </c>
      <c r="J691">
        <v>6.2</v>
      </c>
      <c r="K691">
        <v>65</v>
      </c>
      <c r="L691" t="s">
        <v>38</v>
      </c>
      <c r="M691" t="s">
        <v>18</v>
      </c>
      <c r="N691" t="s">
        <v>48</v>
      </c>
      <c r="O691">
        <v>4.5</v>
      </c>
      <c r="P691" t="s">
        <v>44</v>
      </c>
      <c r="Q691">
        <v>2025</v>
      </c>
    </row>
    <row r="692" spans="1:17" hidden="1" x14ac:dyDescent="0.3">
      <c r="A692" t="s">
        <v>66</v>
      </c>
      <c r="B692" t="s">
        <v>240</v>
      </c>
      <c r="C692">
        <v>658</v>
      </c>
      <c r="D692">
        <v>8</v>
      </c>
      <c r="E692"/>
      <c r="F692">
        <v>64</v>
      </c>
      <c r="G692">
        <v>200</v>
      </c>
      <c r="H692"/>
      <c r="I692">
        <v>4000</v>
      </c>
      <c r="J692">
        <v>6.8</v>
      </c>
      <c r="K692">
        <v>100</v>
      </c>
      <c r="L692" t="s">
        <v>38</v>
      </c>
      <c r="M692" t="s">
        <v>18</v>
      </c>
      <c r="N692" t="s">
        <v>31</v>
      </c>
      <c r="O692">
        <v>4.5</v>
      </c>
      <c r="P692" t="s">
        <v>24</v>
      </c>
      <c r="Q692">
        <v>2025</v>
      </c>
    </row>
    <row r="693" spans="1:17" hidden="1" x14ac:dyDescent="0.3">
      <c r="A693" t="s">
        <v>36</v>
      </c>
      <c r="B693" t="s">
        <v>242</v>
      </c>
      <c r="C693">
        <v>463</v>
      </c>
      <c r="D693">
        <v>8</v>
      </c>
      <c r="E693"/>
      <c r="F693">
        <v>512</v>
      </c>
      <c r="G693">
        <v>48</v>
      </c>
      <c r="H693"/>
      <c r="I693">
        <v>4500</v>
      </c>
      <c r="J693">
        <v>6</v>
      </c>
      <c r="K693">
        <v>100</v>
      </c>
      <c r="L693" t="s">
        <v>17</v>
      </c>
      <c r="M693" t="s">
        <v>18</v>
      </c>
      <c r="N693" t="s">
        <v>35</v>
      </c>
      <c r="O693">
        <v>4.5</v>
      </c>
      <c r="P693" t="s">
        <v>44</v>
      </c>
      <c r="Q693">
        <v>2025</v>
      </c>
    </row>
    <row r="694" spans="1:17" hidden="1" x14ac:dyDescent="0.3">
      <c r="A694" t="s">
        <v>15</v>
      </c>
      <c r="B694" t="s">
        <v>534</v>
      </c>
      <c r="C694">
        <v>691</v>
      </c>
      <c r="D694">
        <v>8</v>
      </c>
      <c r="E694"/>
      <c r="F694">
        <v>1024</v>
      </c>
      <c r="G694">
        <v>48</v>
      </c>
      <c r="H694"/>
      <c r="I694">
        <v>6000</v>
      </c>
      <c r="J694">
        <v>5.6</v>
      </c>
      <c r="K694">
        <v>44</v>
      </c>
      <c r="L694" t="s">
        <v>17</v>
      </c>
      <c r="M694" t="s">
        <v>18</v>
      </c>
      <c r="N694" t="s">
        <v>61</v>
      </c>
      <c r="O694">
        <v>4.5</v>
      </c>
      <c r="P694" t="s">
        <v>71</v>
      </c>
      <c r="Q694">
        <v>2025</v>
      </c>
    </row>
    <row r="695" spans="1:17" hidden="1" x14ac:dyDescent="0.3">
      <c r="A695" t="s">
        <v>66</v>
      </c>
      <c r="B695" t="s">
        <v>545</v>
      </c>
      <c r="C695">
        <v>141</v>
      </c>
      <c r="D695">
        <v>8</v>
      </c>
      <c r="E695"/>
      <c r="F695">
        <v>128</v>
      </c>
      <c r="G695">
        <v>108</v>
      </c>
      <c r="H695"/>
      <c r="I695">
        <v>4500</v>
      </c>
      <c r="J695">
        <v>7</v>
      </c>
      <c r="K695">
        <v>120</v>
      </c>
      <c r="L695" t="s">
        <v>17</v>
      </c>
      <c r="M695" t="s">
        <v>18</v>
      </c>
      <c r="N695" t="s">
        <v>35</v>
      </c>
      <c r="O695">
        <v>4.5</v>
      </c>
      <c r="P695" t="s">
        <v>28</v>
      </c>
      <c r="Q695">
        <v>2025</v>
      </c>
    </row>
    <row r="696" spans="1:17" hidden="1" x14ac:dyDescent="0.3">
      <c r="A696" t="s">
        <v>40</v>
      </c>
      <c r="B696" t="s">
        <v>551</v>
      </c>
      <c r="C696">
        <v>464</v>
      </c>
      <c r="D696">
        <v>8</v>
      </c>
      <c r="E696"/>
      <c r="F696">
        <v>512</v>
      </c>
      <c r="G696">
        <v>12</v>
      </c>
      <c r="H696"/>
      <c r="I696">
        <v>6000</v>
      </c>
      <c r="J696">
        <v>6.6</v>
      </c>
      <c r="K696">
        <v>120</v>
      </c>
      <c r="L696" t="s">
        <v>17</v>
      </c>
      <c r="M696" t="s">
        <v>18</v>
      </c>
      <c r="N696" t="s">
        <v>23</v>
      </c>
      <c r="O696">
        <v>4.5</v>
      </c>
      <c r="P696" t="s">
        <v>28</v>
      </c>
      <c r="Q696">
        <v>2025</v>
      </c>
    </row>
    <row r="697" spans="1:17" hidden="1" x14ac:dyDescent="0.3">
      <c r="A697" t="s">
        <v>36</v>
      </c>
      <c r="B697" t="s">
        <v>577</v>
      </c>
      <c r="C697">
        <v>1292</v>
      </c>
      <c r="D697">
        <v>8</v>
      </c>
      <c r="E697"/>
      <c r="F697">
        <v>512</v>
      </c>
      <c r="G697">
        <v>48</v>
      </c>
      <c r="H697"/>
      <c r="I697">
        <v>5500</v>
      </c>
      <c r="J697">
        <v>7</v>
      </c>
      <c r="K697">
        <v>33</v>
      </c>
      <c r="L697" t="s">
        <v>38</v>
      </c>
      <c r="M697" t="s">
        <v>18</v>
      </c>
      <c r="N697" t="s">
        <v>51</v>
      </c>
      <c r="O697">
        <v>4.5</v>
      </c>
      <c r="P697" t="s">
        <v>64</v>
      </c>
      <c r="Q697">
        <v>2025</v>
      </c>
    </row>
    <row r="698" spans="1:17" hidden="1" x14ac:dyDescent="0.3">
      <c r="A698" t="s">
        <v>15</v>
      </c>
      <c r="B698" t="s">
        <v>274</v>
      </c>
      <c r="C698">
        <v>1059</v>
      </c>
      <c r="D698">
        <v>4</v>
      </c>
      <c r="E698" s="8">
        <f t="shared" ref="E698:E699" si="66">C698/D698</f>
        <v>264.75</v>
      </c>
      <c r="F698">
        <v>256</v>
      </c>
      <c r="G698">
        <v>12</v>
      </c>
      <c r="H698" s="8">
        <f t="shared" ref="H698:H699" si="67">C698/G698</f>
        <v>88.25</v>
      </c>
      <c r="I698">
        <v>4000</v>
      </c>
      <c r="J698">
        <v>6.5</v>
      </c>
      <c r="K698">
        <v>100</v>
      </c>
      <c r="L698" t="s">
        <v>17</v>
      </c>
      <c r="M698" t="s">
        <v>18</v>
      </c>
      <c r="N698" t="s">
        <v>27</v>
      </c>
      <c r="O698">
        <v>4.5</v>
      </c>
      <c r="P698" t="s">
        <v>28</v>
      </c>
      <c r="Q698">
        <v>2025</v>
      </c>
    </row>
    <row r="699" spans="1:17" hidden="1" x14ac:dyDescent="0.3">
      <c r="A699" t="s">
        <v>36</v>
      </c>
      <c r="B699" t="s">
        <v>875</v>
      </c>
      <c r="C699">
        <v>1302</v>
      </c>
      <c r="D699">
        <v>8</v>
      </c>
      <c r="E699" s="8">
        <f t="shared" si="66"/>
        <v>162.75</v>
      </c>
      <c r="F699">
        <v>512</v>
      </c>
      <c r="G699">
        <v>200</v>
      </c>
      <c r="H699" s="8">
        <f t="shared" si="67"/>
        <v>6.51</v>
      </c>
      <c r="I699">
        <v>4000</v>
      </c>
      <c r="J699">
        <v>6.6</v>
      </c>
      <c r="K699">
        <v>100</v>
      </c>
      <c r="L699" t="s">
        <v>17</v>
      </c>
      <c r="M699" t="s">
        <v>18</v>
      </c>
      <c r="N699" t="s">
        <v>61</v>
      </c>
      <c r="O699">
        <v>4.5</v>
      </c>
      <c r="P699" t="s">
        <v>24</v>
      </c>
      <c r="Q699">
        <v>2025</v>
      </c>
    </row>
    <row r="700" spans="1:17" hidden="1" x14ac:dyDescent="0.3">
      <c r="A700" t="s">
        <v>25</v>
      </c>
      <c r="B700" t="s">
        <v>686</v>
      </c>
      <c r="C700">
        <v>1475</v>
      </c>
      <c r="D700">
        <v>8</v>
      </c>
      <c r="E700"/>
      <c r="F700">
        <v>256</v>
      </c>
      <c r="G700">
        <v>108</v>
      </c>
      <c r="H700"/>
      <c r="I700">
        <v>5500</v>
      </c>
      <c r="J700">
        <v>6.7</v>
      </c>
      <c r="K700">
        <v>100</v>
      </c>
      <c r="L700" t="s">
        <v>17</v>
      </c>
      <c r="M700" t="s">
        <v>18</v>
      </c>
      <c r="N700" t="s">
        <v>23</v>
      </c>
      <c r="O700">
        <v>4.5</v>
      </c>
      <c r="P700" t="s">
        <v>44</v>
      </c>
      <c r="Q700">
        <v>2025</v>
      </c>
    </row>
    <row r="701" spans="1:17" hidden="1" x14ac:dyDescent="0.3">
      <c r="A701" t="s">
        <v>15</v>
      </c>
      <c r="B701" t="s">
        <v>782</v>
      </c>
      <c r="C701">
        <v>197</v>
      </c>
      <c r="D701">
        <v>8</v>
      </c>
      <c r="E701"/>
      <c r="F701">
        <v>256</v>
      </c>
      <c r="G701">
        <v>64</v>
      </c>
      <c r="H701"/>
      <c r="I701">
        <v>4500</v>
      </c>
      <c r="J701">
        <v>6.9</v>
      </c>
      <c r="K701">
        <v>120</v>
      </c>
      <c r="L701" t="s">
        <v>38</v>
      </c>
      <c r="M701" t="s">
        <v>18</v>
      </c>
      <c r="N701" t="s">
        <v>27</v>
      </c>
      <c r="O701">
        <v>4.5</v>
      </c>
      <c r="P701" t="s">
        <v>20</v>
      </c>
      <c r="Q701">
        <v>2025</v>
      </c>
    </row>
    <row r="702" spans="1:17" x14ac:dyDescent="0.3">
      <c r="A702" t="s">
        <v>66</v>
      </c>
      <c r="B702" t="s">
        <v>621</v>
      </c>
      <c r="C702">
        <v>1080</v>
      </c>
      <c r="D702">
        <v>8</v>
      </c>
      <c r="E702" s="8">
        <f>C702/D702</f>
        <v>135</v>
      </c>
      <c r="F702">
        <v>1024</v>
      </c>
      <c r="G702">
        <v>12</v>
      </c>
      <c r="H702" s="8">
        <f>C702/G702</f>
        <v>90</v>
      </c>
      <c r="I702">
        <v>4500</v>
      </c>
      <c r="J702">
        <v>6.7</v>
      </c>
      <c r="K702">
        <v>120</v>
      </c>
      <c r="L702" t="s">
        <v>38</v>
      </c>
      <c r="M702" t="s">
        <v>18</v>
      </c>
      <c r="N702" t="s">
        <v>19</v>
      </c>
      <c r="O702">
        <v>4.5</v>
      </c>
      <c r="P702" t="s">
        <v>56</v>
      </c>
      <c r="Q702">
        <v>2025</v>
      </c>
    </row>
    <row r="703" spans="1:17" hidden="1" x14ac:dyDescent="0.3">
      <c r="A703" t="s">
        <v>49</v>
      </c>
      <c r="B703" t="s">
        <v>879</v>
      </c>
      <c r="C703">
        <v>1249</v>
      </c>
      <c r="D703">
        <v>8</v>
      </c>
      <c r="E703"/>
      <c r="F703">
        <v>256</v>
      </c>
      <c r="G703">
        <v>50</v>
      </c>
      <c r="H703"/>
      <c r="I703">
        <v>5000</v>
      </c>
      <c r="J703">
        <v>6.2</v>
      </c>
      <c r="K703">
        <v>33</v>
      </c>
      <c r="L703" t="s">
        <v>38</v>
      </c>
      <c r="M703" t="s">
        <v>18</v>
      </c>
      <c r="N703" t="s">
        <v>48</v>
      </c>
      <c r="O703">
        <v>4.5</v>
      </c>
      <c r="P703" t="s">
        <v>54</v>
      </c>
      <c r="Q703">
        <v>2025</v>
      </c>
    </row>
    <row r="704" spans="1:17" hidden="1" x14ac:dyDescent="0.3">
      <c r="A704" t="s">
        <v>29</v>
      </c>
      <c r="B704" t="s">
        <v>1010</v>
      </c>
      <c r="C704">
        <v>674</v>
      </c>
      <c r="D704">
        <v>8</v>
      </c>
      <c r="E704"/>
      <c r="F704">
        <v>128</v>
      </c>
      <c r="G704">
        <v>48</v>
      </c>
      <c r="H704"/>
      <c r="I704">
        <v>4000</v>
      </c>
      <c r="J704">
        <v>5.7</v>
      </c>
      <c r="K704">
        <v>18</v>
      </c>
      <c r="L704" t="s">
        <v>38</v>
      </c>
      <c r="M704" t="s">
        <v>18</v>
      </c>
      <c r="N704" t="s">
        <v>23</v>
      </c>
      <c r="O704">
        <v>4.5</v>
      </c>
      <c r="P704" t="s">
        <v>24</v>
      </c>
      <c r="Q704">
        <v>2025</v>
      </c>
    </row>
    <row r="705" spans="1:17" hidden="1" x14ac:dyDescent="0.3">
      <c r="A705" t="s">
        <v>21</v>
      </c>
      <c r="B705" t="s">
        <v>197</v>
      </c>
      <c r="C705">
        <v>236</v>
      </c>
      <c r="D705">
        <v>12</v>
      </c>
      <c r="E705"/>
      <c r="F705">
        <v>1024</v>
      </c>
      <c r="G705">
        <v>50</v>
      </c>
      <c r="H705"/>
      <c r="I705">
        <v>6000</v>
      </c>
      <c r="J705">
        <v>6.8</v>
      </c>
      <c r="K705">
        <v>33</v>
      </c>
      <c r="L705" t="s">
        <v>17</v>
      </c>
      <c r="M705" t="s">
        <v>18</v>
      </c>
      <c r="N705" t="s">
        <v>27</v>
      </c>
      <c r="O705">
        <v>4.5</v>
      </c>
      <c r="P705" t="s">
        <v>56</v>
      </c>
      <c r="Q705">
        <v>2025</v>
      </c>
    </row>
    <row r="706" spans="1:17" hidden="1" x14ac:dyDescent="0.3">
      <c r="A706" t="s">
        <v>40</v>
      </c>
      <c r="B706" t="s">
        <v>206</v>
      </c>
      <c r="C706">
        <v>732</v>
      </c>
      <c r="D706">
        <v>12</v>
      </c>
      <c r="E706"/>
      <c r="F706">
        <v>64</v>
      </c>
      <c r="G706">
        <v>108</v>
      </c>
      <c r="H706"/>
      <c r="I706">
        <v>4000</v>
      </c>
      <c r="J706">
        <v>5.6</v>
      </c>
      <c r="K706">
        <v>18</v>
      </c>
      <c r="L706" t="s">
        <v>17</v>
      </c>
      <c r="M706" t="s">
        <v>18</v>
      </c>
      <c r="N706" t="s">
        <v>35</v>
      </c>
      <c r="O706">
        <v>4.5</v>
      </c>
      <c r="P706" t="s">
        <v>54</v>
      </c>
      <c r="Q706">
        <v>2025</v>
      </c>
    </row>
    <row r="707" spans="1:17" x14ac:dyDescent="0.3">
      <c r="A707" t="s">
        <v>32</v>
      </c>
      <c r="B707" t="s">
        <v>432</v>
      </c>
      <c r="C707">
        <v>706</v>
      </c>
      <c r="D707">
        <v>12</v>
      </c>
      <c r="E707" s="8">
        <f>C707/D707</f>
        <v>58.833333333333336</v>
      </c>
      <c r="F707">
        <v>1024</v>
      </c>
      <c r="G707">
        <v>64</v>
      </c>
      <c r="H707" s="8">
        <f>C707/G707</f>
        <v>11.03125</v>
      </c>
      <c r="I707">
        <v>4000</v>
      </c>
      <c r="J707">
        <v>7.1</v>
      </c>
      <c r="K707">
        <v>120</v>
      </c>
      <c r="L707" t="s">
        <v>38</v>
      </c>
      <c r="M707" t="s">
        <v>34</v>
      </c>
      <c r="N707" t="s">
        <v>19</v>
      </c>
      <c r="O707">
        <v>4.5</v>
      </c>
      <c r="P707" t="s">
        <v>54</v>
      </c>
      <c r="Q707">
        <v>2025</v>
      </c>
    </row>
    <row r="708" spans="1:17" hidden="1" x14ac:dyDescent="0.3">
      <c r="A708" t="s">
        <v>25</v>
      </c>
      <c r="B708" t="s">
        <v>466</v>
      </c>
      <c r="C708">
        <v>1295</v>
      </c>
      <c r="D708">
        <v>12</v>
      </c>
      <c r="E708"/>
      <c r="F708">
        <v>64</v>
      </c>
      <c r="G708">
        <v>50</v>
      </c>
      <c r="H708"/>
      <c r="I708">
        <v>4500</v>
      </c>
      <c r="J708">
        <v>5.8</v>
      </c>
      <c r="K708">
        <v>120</v>
      </c>
      <c r="L708" t="s">
        <v>17</v>
      </c>
      <c r="M708" t="s">
        <v>18</v>
      </c>
      <c r="N708" t="s">
        <v>23</v>
      </c>
      <c r="O708">
        <v>4.5</v>
      </c>
      <c r="P708" t="s">
        <v>71</v>
      </c>
      <c r="Q708">
        <v>2025</v>
      </c>
    </row>
    <row r="709" spans="1:17" hidden="1" x14ac:dyDescent="0.3">
      <c r="A709" t="s">
        <v>15</v>
      </c>
      <c r="B709" t="s">
        <v>536</v>
      </c>
      <c r="C709">
        <v>1441</v>
      </c>
      <c r="D709">
        <v>12</v>
      </c>
      <c r="E709"/>
      <c r="F709">
        <v>256</v>
      </c>
      <c r="G709">
        <v>200</v>
      </c>
      <c r="H709"/>
      <c r="I709">
        <v>6000</v>
      </c>
      <c r="J709">
        <v>6.9</v>
      </c>
      <c r="K709">
        <v>44</v>
      </c>
      <c r="L709" t="s">
        <v>38</v>
      </c>
      <c r="M709" t="s">
        <v>18</v>
      </c>
      <c r="N709" t="s">
        <v>23</v>
      </c>
      <c r="O709">
        <v>4.5</v>
      </c>
      <c r="P709" t="s">
        <v>71</v>
      </c>
      <c r="Q709">
        <v>2025</v>
      </c>
    </row>
    <row r="710" spans="1:17" hidden="1" x14ac:dyDescent="0.3">
      <c r="A710" t="s">
        <v>32</v>
      </c>
      <c r="B710" t="s">
        <v>801</v>
      </c>
      <c r="C710">
        <v>436</v>
      </c>
      <c r="D710">
        <v>12</v>
      </c>
      <c r="E710"/>
      <c r="F710">
        <v>1024</v>
      </c>
      <c r="G710">
        <v>50</v>
      </c>
      <c r="H710"/>
      <c r="I710">
        <v>5000</v>
      </c>
      <c r="J710">
        <v>5.9</v>
      </c>
      <c r="K710">
        <v>18</v>
      </c>
      <c r="L710" t="s">
        <v>17</v>
      </c>
      <c r="M710" t="s">
        <v>34</v>
      </c>
      <c r="N710" t="s">
        <v>23</v>
      </c>
      <c r="O710">
        <v>4.5</v>
      </c>
      <c r="P710" t="s">
        <v>71</v>
      </c>
      <c r="Q710">
        <v>2025</v>
      </c>
    </row>
    <row r="711" spans="1:17" hidden="1" x14ac:dyDescent="0.3">
      <c r="A711" t="s">
        <v>21</v>
      </c>
      <c r="B711" t="s">
        <v>815</v>
      </c>
      <c r="C711">
        <v>343</v>
      </c>
      <c r="D711">
        <v>12</v>
      </c>
      <c r="E711"/>
      <c r="F711">
        <v>256</v>
      </c>
      <c r="G711">
        <v>64</v>
      </c>
      <c r="H711"/>
      <c r="I711">
        <v>4000</v>
      </c>
      <c r="J711">
        <v>7</v>
      </c>
      <c r="K711">
        <v>120</v>
      </c>
      <c r="L711" t="s">
        <v>38</v>
      </c>
      <c r="M711" t="s">
        <v>18</v>
      </c>
      <c r="N711" t="s">
        <v>61</v>
      </c>
      <c r="O711">
        <v>4.5</v>
      </c>
      <c r="P711" t="s">
        <v>54</v>
      </c>
      <c r="Q711">
        <v>2025</v>
      </c>
    </row>
    <row r="712" spans="1:17" hidden="1" x14ac:dyDescent="0.3">
      <c r="A712" t="s">
        <v>36</v>
      </c>
      <c r="B712" t="s">
        <v>99</v>
      </c>
      <c r="C712">
        <v>817</v>
      </c>
      <c r="D712">
        <v>16</v>
      </c>
      <c r="E712"/>
      <c r="F712">
        <v>128</v>
      </c>
      <c r="G712">
        <v>50</v>
      </c>
      <c r="H712"/>
      <c r="I712">
        <v>4000</v>
      </c>
      <c r="J712">
        <v>5.5</v>
      </c>
      <c r="K712">
        <v>44</v>
      </c>
      <c r="L712" t="s">
        <v>17</v>
      </c>
      <c r="M712" t="s">
        <v>18</v>
      </c>
      <c r="N712" t="s">
        <v>27</v>
      </c>
      <c r="O712">
        <v>4.5</v>
      </c>
      <c r="P712" t="s">
        <v>46</v>
      </c>
      <c r="Q712">
        <v>2025</v>
      </c>
    </row>
    <row r="713" spans="1:17" hidden="1" x14ac:dyDescent="0.3">
      <c r="A713" t="s">
        <v>25</v>
      </c>
      <c r="B713" t="s">
        <v>196</v>
      </c>
      <c r="C713">
        <v>476</v>
      </c>
      <c r="D713">
        <v>16</v>
      </c>
      <c r="E713"/>
      <c r="F713">
        <v>512</v>
      </c>
      <c r="G713">
        <v>200</v>
      </c>
      <c r="H713"/>
      <c r="I713">
        <v>4000</v>
      </c>
      <c r="J713">
        <v>7</v>
      </c>
      <c r="K713">
        <v>120</v>
      </c>
      <c r="L713" t="s">
        <v>17</v>
      </c>
      <c r="M713" t="s">
        <v>18</v>
      </c>
      <c r="N713" t="s">
        <v>35</v>
      </c>
      <c r="O713">
        <v>4.5</v>
      </c>
      <c r="P713" t="s">
        <v>24</v>
      </c>
      <c r="Q713">
        <v>2025</v>
      </c>
    </row>
    <row r="714" spans="1:17" hidden="1" x14ac:dyDescent="0.3">
      <c r="A714" t="s">
        <v>29</v>
      </c>
      <c r="B714" t="s">
        <v>348</v>
      </c>
      <c r="C714">
        <v>394</v>
      </c>
      <c r="D714">
        <v>16</v>
      </c>
      <c r="E714"/>
      <c r="F714">
        <v>128</v>
      </c>
      <c r="G714">
        <v>200</v>
      </c>
      <c r="H714"/>
      <c r="I714">
        <v>5000</v>
      </c>
      <c r="J714">
        <v>5.9</v>
      </c>
      <c r="K714">
        <v>33</v>
      </c>
      <c r="L714" t="s">
        <v>38</v>
      </c>
      <c r="M714" t="s">
        <v>18</v>
      </c>
      <c r="N714" t="s">
        <v>61</v>
      </c>
      <c r="O714">
        <v>4.5</v>
      </c>
      <c r="P714" t="s">
        <v>46</v>
      </c>
      <c r="Q714">
        <v>2025</v>
      </c>
    </row>
    <row r="715" spans="1:17" hidden="1" x14ac:dyDescent="0.3">
      <c r="A715" t="s">
        <v>29</v>
      </c>
      <c r="B715" t="s">
        <v>619</v>
      </c>
      <c r="C715">
        <v>112</v>
      </c>
      <c r="D715">
        <v>16</v>
      </c>
      <c r="E715"/>
      <c r="F715">
        <v>512</v>
      </c>
      <c r="G715">
        <v>12</v>
      </c>
      <c r="H715"/>
      <c r="I715">
        <v>4500</v>
      </c>
      <c r="J715">
        <v>6.7</v>
      </c>
      <c r="K715">
        <v>33</v>
      </c>
      <c r="L715" t="s">
        <v>17</v>
      </c>
      <c r="M715" t="s">
        <v>18</v>
      </c>
      <c r="N715" t="s">
        <v>23</v>
      </c>
      <c r="O715">
        <v>4.5</v>
      </c>
      <c r="P715" t="s">
        <v>28</v>
      </c>
      <c r="Q715">
        <v>2025</v>
      </c>
    </row>
    <row r="716" spans="1:17" hidden="1" x14ac:dyDescent="0.3">
      <c r="A716" t="s">
        <v>21</v>
      </c>
      <c r="B716" t="s">
        <v>620</v>
      </c>
      <c r="C716">
        <v>298</v>
      </c>
      <c r="D716">
        <v>16</v>
      </c>
      <c r="E716"/>
      <c r="F716">
        <v>128</v>
      </c>
      <c r="G716">
        <v>12</v>
      </c>
      <c r="H716"/>
      <c r="I716">
        <v>4000</v>
      </c>
      <c r="J716">
        <v>6.1</v>
      </c>
      <c r="K716">
        <v>44</v>
      </c>
      <c r="L716" t="s">
        <v>38</v>
      </c>
      <c r="M716" t="s">
        <v>18</v>
      </c>
      <c r="N716" t="s">
        <v>48</v>
      </c>
      <c r="O716">
        <v>4.5</v>
      </c>
      <c r="P716" t="s">
        <v>46</v>
      </c>
      <c r="Q716">
        <v>2025</v>
      </c>
    </row>
    <row r="717" spans="1:17" hidden="1" x14ac:dyDescent="0.3">
      <c r="A717" t="s">
        <v>49</v>
      </c>
      <c r="B717" t="s">
        <v>647</v>
      </c>
      <c r="C717">
        <v>349</v>
      </c>
      <c r="D717">
        <v>16</v>
      </c>
      <c r="E717"/>
      <c r="F717">
        <v>64</v>
      </c>
      <c r="G717">
        <v>200</v>
      </c>
      <c r="H717"/>
      <c r="I717">
        <v>4000</v>
      </c>
      <c r="J717">
        <v>6.5</v>
      </c>
      <c r="K717">
        <v>120</v>
      </c>
      <c r="L717" t="s">
        <v>17</v>
      </c>
      <c r="M717" t="s">
        <v>18</v>
      </c>
      <c r="N717" t="s">
        <v>48</v>
      </c>
      <c r="O717">
        <v>4.5</v>
      </c>
      <c r="P717" t="s">
        <v>39</v>
      </c>
      <c r="Q717">
        <v>2025</v>
      </c>
    </row>
    <row r="718" spans="1:17" hidden="1" x14ac:dyDescent="0.3">
      <c r="A718" t="s">
        <v>32</v>
      </c>
      <c r="B718" t="s">
        <v>817</v>
      </c>
      <c r="C718">
        <v>445</v>
      </c>
      <c r="D718">
        <v>16</v>
      </c>
      <c r="E718"/>
      <c r="F718">
        <v>256</v>
      </c>
      <c r="G718">
        <v>200</v>
      </c>
      <c r="H718"/>
      <c r="I718">
        <v>6000</v>
      </c>
      <c r="J718">
        <v>5.7</v>
      </c>
      <c r="K718">
        <v>65</v>
      </c>
      <c r="L718" t="s">
        <v>17</v>
      </c>
      <c r="M718" t="s">
        <v>34</v>
      </c>
      <c r="N718" t="s">
        <v>35</v>
      </c>
      <c r="O718">
        <v>4.5</v>
      </c>
      <c r="P718" t="s">
        <v>39</v>
      </c>
      <c r="Q718">
        <v>2025</v>
      </c>
    </row>
    <row r="719" spans="1:17" hidden="1" x14ac:dyDescent="0.3">
      <c r="A719" t="s">
        <v>32</v>
      </c>
      <c r="B719" t="s">
        <v>820</v>
      </c>
      <c r="C719">
        <v>817</v>
      </c>
      <c r="D719">
        <v>16</v>
      </c>
      <c r="E719"/>
      <c r="F719">
        <v>64</v>
      </c>
      <c r="G719">
        <v>12</v>
      </c>
      <c r="H719"/>
      <c r="I719">
        <v>6000</v>
      </c>
      <c r="J719">
        <v>6.9</v>
      </c>
      <c r="K719">
        <v>100</v>
      </c>
      <c r="L719" t="s">
        <v>17</v>
      </c>
      <c r="M719" t="s">
        <v>34</v>
      </c>
      <c r="N719" t="s">
        <v>61</v>
      </c>
      <c r="O719">
        <v>4.5</v>
      </c>
      <c r="P719" t="s">
        <v>39</v>
      </c>
      <c r="Q719">
        <v>2025</v>
      </c>
    </row>
    <row r="720" spans="1:17" hidden="1" x14ac:dyDescent="0.3">
      <c r="A720" t="s">
        <v>32</v>
      </c>
      <c r="B720" t="s">
        <v>900</v>
      </c>
      <c r="C720">
        <v>1286</v>
      </c>
      <c r="D720">
        <v>16</v>
      </c>
      <c r="E720"/>
      <c r="F720">
        <v>256</v>
      </c>
      <c r="G720">
        <v>64</v>
      </c>
      <c r="H720"/>
      <c r="I720">
        <v>6000</v>
      </c>
      <c r="J720">
        <v>6.4</v>
      </c>
      <c r="K720">
        <v>18</v>
      </c>
      <c r="L720" t="s">
        <v>38</v>
      </c>
      <c r="M720" t="s">
        <v>34</v>
      </c>
      <c r="N720" t="s">
        <v>31</v>
      </c>
      <c r="O720">
        <v>4.5</v>
      </c>
      <c r="P720" t="s">
        <v>28</v>
      </c>
      <c r="Q720">
        <v>2025</v>
      </c>
    </row>
    <row r="721" spans="1:17" hidden="1" x14ac:dyDescent="0.3">
      <c r="A721" t="s">
        <v>66</v>
      </c>
      <c r="B721" t="s">
        <v>943</v>
      </c>
      <c r="C721">
        <v>1149</v>
      </c>
      <c r="D721">
        <v>16</v>
      </c>
      <c r="E721"/>
      <c r="F721">
        <v>1024</v>
      </c>
      <c r="G721">
        <v>48</v>
      </c>
      <c r="H721"/>
      <c r="I721">
        <v>4000</v>
      </c>
      <c r="J721">
        <v>5.9</v>
      </c>
      <c r="K721">
        <v>44</v>
      </c>
      <c r="L721" t="s">
        <v>17</v>
      </c>
      <c r="M721" t="s">
        <v>18</v>
      </c>
      <c r="N721" t="s">
        <v>51</v>
      </c>
      <c r="O721">
        <v>4.5</v>
      </c>
      <c r="P721" t="s">
        <v>39</v>
      </c>
      <c r="Q721">
        <v>2025</v>
      </c>
    </row>
    <row r="722" spans="1:17" hidden="1" x14ac:dyDescent="0.3">
      <c r="A722" t="s">
        <v>32</v>
      </c>
      <c r="B722" t="s">
        <v>68</v>
      </c>
      <c r="C722">
        <v>868</v>
      </c>
      <c r="D722">
        <v>4</v>
      </c>
      <c r="E722"/>
      <c r="F722">
        <v>512</v>
      </c>
      <c r="G722">
        <v>12</v>
      </c>
      <c r="H722"/>
      <c r="I722">
        <v>4500</v>
      </c>
      <c r="J722">
        <v>7.2</v>
      </c>
      <c r="K722">
        <v>44</v>
      </c>
      <c r="L722" t="s">
        <v>38</v>
      </c>
      <c r="M722" t="s">
        <v>34</v>
      </c>
      <c r="N722" t="s">
        <v>48</v>
      </c>
      <c r="O722">
        <v>4.5999999999999996</v>
      </c>
      <c r="P722" t="s">
        <v>54</v>
      </c>
      <c r="Q722">
        <v>2025</v>
      </c>
    </row>
    <row r="723" spans="1:17" hidden="1" x14ac:dyDescent="0.3">
      <c r="A723" t="s">
        <v>40</v>
      </c>
      <c r="B723" t="s">
        <v>74</v>
      </c>
      <c r="C723">
        <v>136</v>
      </c>
      <c r="D723">
        <v>4</v>
      </c>
      <c r="E723"/>
      <c r="F723">
        <v>64</v>
      </c>
      <c r="G723">
        <v>48</v>
      </c>
      <c r="H723"/>
      <c r="I723">
        <v>5000</v>
      </c>
      <c r="J723">
        <v>5.6</v>
      </c>
      <c r="K723">
        <v>65</v>
      </c>
      <c r="L723" t="s">
        <v>17</v>
      </c>
      <c r="M723" t="s">
        <v>18</v>
      </c>
      <c r="N723" t="s">
        <v>61</v>
      </c>
      <c r="O723">
        <v>4.5999999999999996</v>
      </c>
      <c r="P723" t="s">
        <v>71</v>
      </c>
      <c r="Q723">
        <v>2025</v>
      </c>
    </row>
    <row r="724" spans="1:17" hidden="1" x14ac:dyDescent="0.3">
      <c r="A724" t="s">
        <v>32</v>
      </c>
      <c r="B724" t="s">
        <v>87</v>
      </c>
      <c r="C724">
        <v>528</v>
      </c>
      <c r="D724">
        <v>4</v>
      </c>
      <c r="E724"/>
      <c r="F724">
        <v>512</v>
      </c>
      <c r="G724">
        <v>50</v>
      </c>
      <c r="H724"/>
      <c r="I724">
        <v>5500</v>
      </c>
      <c r="J724">
        <v>7.2</v>
      </c>
      <c r="K724">
        <v>120</v>
      </c>
      <c r="L724" t="s">
        <v>38</v>
      </c>
      <c r="M724" t="s">
        <v>34</v>
      </c>
      <c r="N724" t="s">
        <v>51</v>
      </c>
      <c r="O724">
        <v>4.5999999999999996</v>
      </c>
      <c r="P724" t="s">
        <v>64</v>
      </c>
      <c r="Q724">
        <v>2025</v>
      </c>
    </row>
    <row r="725" spans="1:17" hidden="1" x14ac:dyDescent="0.3">
      <c r="A725" t="s">
        <v>49</v>
      </c>
      <c r="B725" t="s">
        <v>103</v>
      </c>
      <c r="C725">
        <v>568</v>
      </c>
      <c r="D725">
        <v>4</v>
      </c>
      <c r="E725"/>
      <c r="F725">
        <v>64</v>
      </c>
      <c r="G725">
        <v>12</v>
      </c>
      <c r="H725"/>
      <c r="I725">
        <v>5500</v>
      </c>
      <c r="J725">
        <v>6.7</v>
      </c>
      <c r="K725">
        <v>120</v>
      </c>
      <c r="L725" t="s">
        <v>38</v>
      </c>
      <c r="M725" t="s">
        <v>18</v>
      </c>
      <c r="N725" t="s">
        <v>27</v>
      </c>
      <c r="O725">
        <v>4.5999999999999996</v>
      </c>
      <c r="P725" t="s">
        <v>82</v>
      </c>
      <c r="Q725">
        <v>2025</v>
      </c>
    </row>
    <row r="726" spans="1:17" hidden="1" x14ac:dyDescent="0.3">
      <c r="A726" t="s">
        <v>25</v>
      </c>
      <c r="B726" t="s">
        <v>105</v>
      </c>
      <c r="C726">
        <v>1194</v>
      </c>
      <c r="D726">
        <v>4</v>
      </c>
      <c r="E726"/>
      <c r="F726">
        <v>512</v>
      </c>
      <c r="G726">
        <v>50</v>
      </c>
      <c r="H726"/>
      <c r="I726">
        <v>4500</v>
      </c>
      <c r="J726">
        <v>6.9</v>
      </c>
      <c r="K726">
        <v>120</v>
      </c>
      <c r="L726" t="s">
        <v>17</v>
      </c>
      <c r="M726" t="s">
        <v>18</v>
      </c>
      <c r="N726" t="s">
        <v>61</v>
      </c>
      <c r="O726">
        <v>4.5999999999999996</v>
      </c>
      <c r="P726" t="s">
        <v>42</v>
      </c>
      <c r="Q726">
        <v>2025</v>
      </c>
    </row>
    <row r="727" spans="1:17" hidden="1" x14ac:dyDescent="0.3">
      <c r="A727" t="s">
        <v>40</v>
      </c>
      <c r="B727" t="s">
        <v>191</v>
      </c>
      <c r="C727">
        <v>910</v>
      </c>
      <c r="D727">
        <v>8</v>
      </c>
      <c r="E727" s="8">
        <f t="shared" ref="E727:E728" si="68">C727/D727</f>
        <v>113.75</v>
      </c>
      <c r="F727">
        <v>1024</v>
      </c>
      <c r="G727">
        <v>200</v>
      </c>
      <c r="H727" s="8">
        <f t="shared" ref="H727:H728" si="69">C727/G727</f>
        <v>4.55</v>
      </c>
      <c r="I727">
        <v>4000</v>
      </c>
      <c r="J727">
        <v>5.6</v>
      </c>
      <c r="K727">
        <v>18</v>
      </c>
      <c r="L727" t="s">
        <v>17</v>
      </c>
      <c r="M727" t="s">
        <v>18</v>
      </c>
      <c r="N727" t="s">
        <v>51</v>
      </c>
      <c r="O727">
        <v>4.5999999999999996</v>
      </c>
      <c r="P727" t="s">
        <v>46</v>
      </c>
      <c r="Q727">
        <v>2025</v>
      </c>
    </row>
    <row r="728" spans="1:17" x14ac:dyDescent="0.3">
      <c r="A728" t="s">
        <v>40</v>
      </c>
      <c r="B728" t="s">
        <v>423</v>
      </c>
      <c r="C728">
        <v>1012</v>
      </c>
      <c r="D728">
        <v>16</v>
      </c>
      <c r="E728" s="8">
        <f t="shared" si="68"/>
        <v>63.25</v>
      </c>
      <c r="F728">
        <v>64</v>
      </c>
      <c r="G728">
        <v>108</v>
      </c>
      <c r="H728" s="8">
        <f t="shared" si="69"/>
        <v>9.3703703703703702</v>
      </c>
      <c r="I728">
        <v>5500</v>
      </c>
      <c r="J728">
        <v>5.7</v>
      </c>
      <c r="K728">
        <v>18</v>
      </c>
      <c r="L728" t="s">
        <v>38</v>
      </c>
      <c r="M728" t="s">
        <v>18</v>
      </c>
      <c r="N728" t="s">
        <v>61</v>
      </c>
      <c r="O728">
        <v>4.5999999999999996</v>
      </c>
      <c r="P728" t="s">
        <v>56</v>
      </c>
      <c r="Q728">
        <v>2025</v>
      </c>
    </row>
    <row r="729" spans="1:17" hidden="1" x14ac:dyDescent="0.3">
      <c r="A729" t="s">
        <v>32</v>
      </c>
      <c r="B729" t="s">
        <v>526</v>
      </c>
      <c r="C729">
        <v>1369</v>
      </c>
      <c r="D729">
        <v>4</v>
      </c>
      <c r="E729"/>
      <c r="F729">
        <v>128</v>
      </c>
      <c r="G729">
        <v>64</v>
      </c>
      <c r="H729"/>
      <c r="I729">
        <v>6000</v>
      </c>
      <c r="J729">
        <v>6.5</v>
      </c>
      <c r="K729">
        <v>120</v>
      </c>
      <c r="L729" t="s">
        <v>38</v>
      </c>
      <c r="M729" t="s">
        <v>34</v>
      </c>
      <c r="N729" t="s">
        <v>19</v>
      </c>
      <c r="O729">
        <v>4.5999999999999996</v>
      </c>
      <c r="P729" t="s">
        <v>82</v>
      </c>
      <c r="Q729">
        <v>2025</v>
      </c>
    </row>
    <row r="730" spans="1:17" hidden="1" x14ac:dyDescent="0.3">
      <c r="A730" t="s">
        <v>29</v>
      </c>
      <c r="B730" t="s">
        <v>699</v>
      </c>
      <c r="C730">
        <v>895</v>
      </c>
      <c r="D730">
        <v>4</v>
      </c>
      <c r="E730"/>
      <c r="F730">
        <v>128</v>
      </c>
      <c r="G730">
        <v>48</v>
      </c>
      <c r="H730"/>
      <c r="I730">
        <v>5000</v>
      </c>
      <c r="J730">
        <v>7</v>
      </c>
      <c r="K730">
        <v>65</v>
      </c>
      <c r="L730" t="s">
        <v>17</v>
      </c>
      <c r="M730" t="s">
        <v>18</v>
      </c>
      <c r="N730" t="s">
        <v>48</v>
      </c>
      <c r="O730">
        <v>4.5999999999999996</v>
      </c>
      <c r="P730" t="s">
        <v>20</v>
      </c>
      <c r="Q730">
        <v>2025</v>
      </c>
    </row>
    <row r="731" spans="1:17" hidden="1" x14ac:dyDescent="0.3">
      <c r="A731" t="s">
        <v>36</v>
      </c>
      <c r="B731" t="s">
        <v>942</v>
      </c>
      <c r="C731">
        <v>1375</v>
      </c>
      <c r="D731">
        <v>4</v>
      </c>
      <c r="E731"/>
      <c r="F731">
        <v>256</v>
      </c>
      <c r="G731">
        <v>200</v>
      </c>
      <c r="H731"/>
      <c r="I731">
        <v>6000</v>
      </c>
      <c r="J731">
        <v>7</v>
      </c>
      <c r="K731">
        <v>18</v>
      </c>
      <c r="L731" t="s">
        <v>38</v>
      </c>
      <c r="M731" t="s">
        <v>18</v>
      </c>
      <c r="N731" t="s">
        <v>19</v>
      </c>
      <c r="O731">
        <v>4.5999999999999996</v>
      </c>
      <c r="P731" t="s">
        <v>20</v>
      </c>
      <c r="Q731">
        <v>2025</v>
      </c>
    </row>
    <row r="732" spans="1:17" hidden="1" x14ac:dyDescent="0.3">
      <c r="A732" t="s">
        <v>32</v>
      </c>
      <c r="B732" t="s">
        <v>1004</v>
      </c>
      <c r="C732">
        <v>993</v>
      </c>
      <c r="D732">
        <v>4</v>
      </c>
      <c r="E732"/>
      <c r="F732">
        <v>128</v>
      </c>
      <c r="G732">
        <v>64</v>
      </c>
      <c r="H732"/>
      <c r="I732">
        <v>5000</v>
      </c>
      <c r="J732">
        <v>5.8</v>
      </c>
      <c r="K732">
        <v>65</v>
      </c>
      <c r="L732" t="s">
        <v>17</v>
      </c>
      <c r="M732" t="s">
        <v>34</v>
      </c>
      <c r="N732" t="s">
        <v>35</v>
      </c>
      <c r="O732">
        <v>4.5999999999999996</v>
      </c>
      <c r="P732" t="s">
        <v>82</v>
      </c>
      <c r="Q732">
        <v>2025</v>
      </c>
    </row>
    <row r="733" spans="1:17" hidden="1" x14ac:dyDescent="0.3">
      <c r="A733" t="s">
        <v>32</v>
      </c>
      <c r="B733" t="s">
        <v>128</v>
      </c>
      <c r="C733">
        <v>1182</v>
      </c>
      <c r="D733">
        <v>6</v>
      </c>
      <c r="E733"/>
      <c r="F733">
        <v>512</v>
      </c>
      <c r="G733">
        <v>200</v>
      </c>
      <c r="H733"/>
      <c r="I733">
        <v>4500</v>
      </c>
      <c r="J733">
        <v>6.3</v>
      </c>
      <c r="K733">
        <v>120</v>
      </c>
      <c r="L733" t="s">
        <v>38</v>
      </c>
      <c r="M733" t="s">
        <v>34</v>
      </c>
      <c r="N733" t="s">
        <v>61</v>
      </c>
      <c r="O733">
        <v>4.5999999999999996</v>
      </c>
      <c r="P733" t="s">
        <v>71</v>
      </c>
      <c r="Q733">
        <v>2025</v>
      </c>
    </row>
    <row r="734" spans="1:17" hidden="1" x14ac:dyDescent="0.3">
      <c r="A734" t="s">
        <v>32</v>
      </c>
      <c r="B734" t="s">
        <v>149</v>
      </c>
      <c r="C734">
        <v>356</v>
      </c>
      <c r="D734">
        <v>6</v>
      </c>
      <c r="E734"/>
      <c r="F734">
        <v>256</v>
      </c>
      <c r="G734">
        <v>12</v>
      </c>
      <c r="H734"/>
      <c r="I734">
        <v>6000</v>
      </c>
      <c r="J734">
        <v>6.8</v>
      </c>
      <c r="K734">
        <v>18</v>
      </c>
      <c r="L734" t="s">
        <v>38</v>
      </c>
      <c r="M734" t="s">
        <v>34</v>
      </c>
      <c r="N734" t="s">
        <v>35</v>
      </c>
      <c r="O734">
        <v>4.5999999999999996</v>
      </c>
      <c r="P734" t="s">
        <v>24</v>
      </c>
      <c r="Q734">
        <v>2025</v>
      </c>
    </row>
    <row r="735" spans="1:17" hidden="1" x14ac:dyDescent="0.3">
      <c r="A735" t="s">
        <v>25</v>
      </c>
      <c r="B735" t="s">
        <v>965</v>
      </c>
      <c r="C735">
        <v>1039</v>
      </c>
      <c r="D735">
        <v>8</v>
      </c>
      <c r="E735" s="8">
        <f t="shared" ref="E735:E736" si="70">C735/D735</f>
        <v>129.875</v>
      </c>
      <c r="F735">
        <v>256</v>
      </c>
      <c r="G735">
        <v>50</v>
      </c>
      <c r="H735" s="8">
        <f t="shared" ref="H735:H736" si="71">C735/G735</f>
        <v>20.78</v>
      </c>
      <c r="I735">
        <v>6000</v>
      </c>
      <c r="J735">
        <v>6</v>
      </c>
      <c r="K735">
        <v>18</v>
      </c>
      <c r="L735" t="s">
        <v>17</v>
      </c>
      <c r="M735" t="s">
        <v>18</v>
      </c>
      <c r="N735" t="s">
        <v>35</v>
      </c>
      <c r="O735">
        <v>4.5999999999999996</v>
      </c>
      <c r="P735" t="s">
        <v>54</v>
      </c>
      <c r="Q735">
        <v>2025</v>
      </c>
    </row>
    <row r="736" spans="1:17" x14ac:dyDescent="0.3">
      <c r="A736" t="s">
        <v>29</v>
      </c>
      <c r="B736" t="s">
        <v>821</v>
      </c>
      <c r="C736">
        <v>510</v>
      </c>
      <c r="D736">
        <v>16</v>
      </c>
      <c r="E736" s="8">
        <f t="shared" si="70"/>
        <v>31.875</v>
      </c>
      <c r="F736">
        <v>1024</v>
      </c>
      <c r="G736">
        <v>200</v>
      </c>
      <c r="H736" s="8">
        <f t="shared" si="71"/>
        <v>2.5499999999999998</v>
      </c>
      <c r="I736">
        <v>4500</v>
      </c>
      <c r="J736">
        <v>6</v>
      </c>
      <c r="K736">
        <v>18</v>
      </c>
      <c r="L736" t="s">
        <v>38</v>
      </c>
      <c r="M736" t="s">
        <v>18</v>
      </c>
      <c r="N736" t="s">
        <v>48</v>
      </c>
      <c r="O736">
        <v>4.5999999999999996</v>
      </c>
      <c r="P736" t="s">
        <v>24</v>
      </c>
      <c r="Q736">
        <v>2025</v>
      </c>
    </row>
    <row r="737" spans="1:17" hidden="1" x14ac:dyDescent="0.3">
      <c r="A737" t="s">
        <v>25</v>
      </c>
      <c r="B737" t="s">
        <v>205</v>
      </c>
      <c r="C737">
        <v>1496</v>
      </c>
      <c r="D737">
        <v>6</v>
      </c>
      <c r="E737"/>
      <c r="F737">
        <v>1024</v>
      </c>
      <c r="G737">
        <v>12</v>
      </c>
      <c r="H737"/>
      <c r="I737">
        <v>5000</v>
      </c>
      <c r="J737">
        <v>7</v>
      </c>
      <c r="K737">
        <v>120</v>
      </c>
      <c r="L737" t="s">
        <v>38</v>
      </c>
      <c r="M737" t="s">
        <v>18</v>
      </c>
      <c r="N737" t="s">
        <v>23</v>
      </c>
      <c r="O737">
        <v>4.5999999999999996</v>
      </c>
      <c r="P737" t="s">
        <v>44</v>
      </c>
      <c r="Q737">
        <v>2025</v>
      </c>
    </row>
    <row r="738" spans="1:17" hidden="1" x14ac:dyDescent="0.3">
      <c r="A738" t="s">
        <v>40</v>
      </c>
      <c r="B738" t="s">
        <v>810</v>
      </c>
      <c r="C738">
        <v>270</v>
      </c>
      <c r="D738">
        <v>12</v>
      </c>
      <c r="E738" s="8">
        <f>C738/D738</f>
        <v>22.5</v>
      </c>
      <c r="F738">
        <v>1024</v>
      </c>
      <c r="G738">
        <v>108</v>
      </c>
      <c r="H738" s="8">
        <f>C738/G738</f>
        <v>2.5</v>
      </c>
      <c r="I738">
        <v>4000</v>
      </c>
      <c r="J738">
        <v>6.4</v>
      </c>
      <c r="K738">
        <v>18</v>
      </c>
      <c r="L738" t="s">
        <v>17</v>
      </c>
      <c r="M738" t="s">
        <v>18</v>
      </c>
      <c r="N738" t="s">
        <v>23</v>
      </c>
      <c r="O738">
        <v>4.5999999999999996</v>
      </c>
      <c r="P738" t="s">
        <v>64</v>
      </c>
      <c r="Q738">
        <v>2025</v>
      </c>
    </row>
    <row r="739" spans="1:17" hidden="1" x14ac:dyDescent="0.3">
      <c r="A739" t="s">
        <v>40</v>
      </c>
      <c r="B739" t="s">
        <v>275</v>
      </c>
      <c r="C739">
        <v>627</v>
      </c>
      <c r="D739">
        <v>6</v>
      </c>
      <c r="E739"/>
      <c r="F739">
        <v>128</v>
      </c>
      <c r="G739">
        <v>200</v>
      </c>
      <c r="H739"/>
      <c r="I739">
        <v>6000</v>
      </c>
      <c r="J739">
        <v>6.1</v>
      </c>
      <c r="K739">
        <v>44</v>
      </c>
      <c r="L739" t="s">
        <v>38</v>
      </c>
      <c r="M739" t="s">
        <v>18</v>
      </c>
      <c r="N739" t="s">
        <v>48</v>
      </c>
      <c r="O739">
        <v>4.5999999999999996</v>
      </c>
      <c r="P739" t="s">
        <v>39</v>
      </c>
      <c r="Q739">
        <v>2025</v>
      </c>
    </row>
    <row r="740" spans="1:17" hidden="1" x14ac:dyDescent="0.3">
      <c r="A740" t="s">
        <v>29</v>
      </c>
      <c r="B740" t="s">
        <v>293</v>
      </c>
      <c r="C740">
        <v>205</v>
      </c>
      <c r="D740">
        <v>6</v>
      </c>
      <c r="E740" s="8">
        <f t="shared" ref="E740:E742" si="72">C740/D740</f>
        <v>34.166666666666664</v>
      </c>
      <c r="F740">
        <v>512</v>
      </c>
      <c r="G740">
        <v>12</v>
      </c>
      <c r="H740" s="8">
        <f t="shared" ref="H740:H742" si="73">C740/G740</f>
        <v>17.083333333333332</v>
      </c>
      <c r="I740">
        <v>6000</v>
      </c>
      <c r="J740">
        <v>7.1</v>
      </c>
      <c r="K740">
        <v>18</v>
      </c>
      <c r="L740" t="s">
        <v>17</v>
      </c>
      <c r="M740" t="s">
        <v>18</v>
      </c>
      <c r="N740" t="s">
        <v>27</v>
      </c>
      <c r="O740">
        <v>4.5999999999999996</v>
      </c>
      <c r="P740" t="s">
        <v>54</v>
      </c>
      <c r="Q740">
        <v>2025</v>
      </c>
    </row>
    <row r="741" spans="1:17" hidden="1" x14ac:dyDescent="0.3">
      <c r="A741" t="s">
        <v>32</v>
      </c>
      <c r="B741" t="s">
        <v>203</v>
      </c>
      <c r="C741">
        <v>1005</v>
      </c>
      <c r="D741">
        <v>12</v>
      </c>
      <c r="E741" s="8">
        <f t="shared" si="72"/>
        <v>83.75</v>
      </c>
      <c r="F741">
        <v>1024</v>
      </c>
      <c r="G741">
        <v>12</v>
      </c>
      <c r="H741" s="8">
        <f t="shared" si="73"/>
        <v>83.75</v>
      </c>
      <c r="I741">
        <v>5000</v>
      </c>
      <c r="J741">
        <v>6.1</v>
      </c>
      <c r="K741">
        <v>33</v>
      </c>
      <c r="L741" t="s">
        <v>17</v>
      </c>
      <c r="M741" t="s">
        <v>34</v>
      </c>
      <c r="N741" t="s">
        <v>19</v>
      </c>
      <c r="O741">
        <v>4.5999999999999996</v>
      </c>
      <c r="P741" t="s">
        <v>39</v>
      </c>
      <c r="Q741">
        <v>2025</v>
      </c>
    </row>
    <row r="742" spans="1:17" x14ac:dyDescent="0.3">
      <c r="A742" t="s">
        <v>25</v>
      </c>
      <c r="B742" t="s">
        <v>222</v>
      </c>
      <c r="C742">
        <v>130</v>
      </c>
      <c r="D742">
        <v>8</v>
      </c>
      <c r="E742" s="8">
        <f t="shared" si="72"/>
        <v>16.25</v>
      </c>
      <c r="F742">
        <v>64</v>
      </c>
      <c r="G742">
        <v>200</v>
      </c>
      <c r="H742" s="8">
        <f t="shared" si="73"/>
        <v>0.65</v>
      </c>
      <c r="I742">
        <v>5000</v>
      </c>
      <c r="J742">
        <v>6.3</v>
      </c>
      <c r="K742">
        <v>33</v>
      </c>
      <c r="L742" t="s">
        <v>38</v>
      </c>
      <c r="M742" t="s">
        <v>18</v>
      </c>
      <c r="N742" t="s">
        <v>51</v>
      </c>
      <c r="O742">
        <v>4.5999999999999996</v>
      </c>
      <c r="P742" t="s">
        <v>20</v>
      </c>
      <c r="Q742">
        <v>2025</v>
      </c>
    </row>
    <row r="743" spans="1:17" hidden="1" x14ac:dyDescent="0.3">
      <c r="A743" t="s">
        <v>36</v>
      </c>
      <c r="B743" t="s">
        <v>392</v>
      </c>
      <c r="C743">
        <v>1446</v>
      </c>
      <c r="D743">
        <v>6</v>
      </c>
      <c r="E743"/>
      <c r="F743">
        <v>64</v>
      </c>
      <c r="G743">
        <v>200</v>
      </c>
      <c r="H743"/>
      <c r="I743">
        <v>4500</v>
      </c>
      <c r="J743">
        <v>5.8</v>
      </c>
      <c r="K743">
        <v>65</v>
      </c>
      <c r="L743" t="s">
        <v>17</v>
      </c>
      <c r="M743" t="s">
        <v>18</v>
      </c>
      <c r="N743" t="s">
        <v>23</v>
      </c>
      <c r="O743">
        <v>4.5999999999999996</v>
      </c>
      <c r="P743" t="s">
        <v>54</v>
      </c>
      <c r="Q743">
        <v>2025</v>
      </c>
    </row>
    <row r="744" spans="1:17" hidden="1" x14ac:dyDescent="0.3">
      <c r="A744" t="s">
        <v>49</v>
      </c>
      <c r="B744" t="s">
        <v>778</v>
      </c>
      <c r="C744">
        <v>439</v>
      </c>
      <c r="D744">
        <v>6</v>
      </c>
      <c r="E744"/>
      <c r="F744">
        <v>256</v>
      </c>
      <c r="G744">
        <v>108</v>
      </c>
      <c r="H744"/>
      <c r="I744">
        <v>5500</v>
      </c>
      <c r="J744">
        <v>5.9</v>
      </c>
      <c r="K744">
        <v>33</v>
      </c>
      <c r="L744" t="s">
        <v>17</v>
      </c>
      <c r="M744" t="s">
        <v>18</v>
      </c>
      <c r="N744" t="s">
        <v>19</v>
      </c>
      <c r="O744">
        <v>4.5999999999999996</v>
      </c>
      <c r="P744" t="s">
        <v>82</v>
      </c>
      <c r="Q744">
        <v>2025</v>
      </c>
    </row>
    <row r="745" spans="1:17" hidden="1" x14ac:dyDescent="0.3">
      <c r="A745" t="s">
        <v>29</v>
      </c>
      <c r="B745" t="s">
        <v>838</v>
      </c>
      <c r="C745">
        <v>1499</v>
      </c>
      <c r="D745">
        <v>6</v>
      </c>
      <c r="E745"/>
      <c r="F745">
        <v>256</v>
      </c>
      <c r="G745">
        <v>108</v>
      </c>
      <c r="H745"/>
      <c r="I745">
        <v>5000</v>
      </c>
      <c r="J745">
        <v>7.1</v>
      </c>
      <c r="K745">
        <v>33</v>
      </c>
      <c r="L745" t="s">
        <v>17</v>
      </c>
      <c r="M745" t="s">
        <v>18</v>
      </c>
      <c r="N745" t="s">
        <v>27</v>
      </c>
      <c r="O745">
        <v>4.5999999999999996</v>
      </c>
      <c r="P745" t="s">
        <v>56</v>
      </c>
      <c r="Q745">
        <v>2025</v>
      </c>
    </row>
    <row r="746" spans="1:17" hidden="1" x14ac:dyDescent="0.3">
      <c r="A746" t="s">
        <v>32</v>
      </c>
      <c r="B746" t="s">
        <v>347</v>
      </c>
      <c r="C746">
        <v>1014</v>
      </c>
      <c r="D746">
        <v>16</v>
      </c>
      <c r="E746" s="8">
        <f>C746/D746</f>
        <v>63.375</v>
      </c>
      <c r="F746">
        <v>64</v>
      </c>
      <c r="G746">
        <v>12</v>
      </c>
      <c r="H746" s="8">
        <f>C746/G746</f>
        <v>84.5</v>
      </c>
      <c r="I746">
        <v>4000</v>
      </c>
      <c r="J746">
        <v>7</v>
      </c>
      <c r="K746">
        <v>33</v>
      </c>
      <c r="L746" t="s">
        <v>17</v>
      </c>
      <c r="M746" t="s">
        <v>34</v>
      </c>
      <c r="N746" t="s">
        <v>48</v>
      </c>
      <c r="O746">
        <v>4.5999999999999996</v>
      </c>
      <c r="P746" t="s">
        <v>42</v>
      </c>
      <c r="Q746">
        <v>2025</v>
      </c>
    </row>
    <row r="747" spans="1:17" hidden="1" x14ac:dyDescent="0.3">
      <c r="A747" t="s">
        <v>21</v>
      </c>
      <c r="B747" t="s">
        <v>75</v>
      </c>
      <c r="C747">
        <v>627</v>
      </c>
      <c r="D747">
        <v>8</v>
      </c>
      <c r="E747"/>
      <c r="F747">
        <v>512</v>
      </c>
      <c r="G747">
        <v>50</v>
      </c>
      <c r="H747"/>
      <c r="I747">
        <v>6000</v>
      </c>
      <c r="J747">
        <v>6.3</v>
      </c>
      <c r="K747">
        <v>44</v>
      </c>
      <c r="L747" t="s">
        <v>17</v>
      </c>
      <c r="M747" t="s">
        <v>18</v>
      </c>
      <c r="N747" t="s">
        <v>23</v>
      </c>
      <c r="O747">
        <v>4.5999999999999996</v>
      </c>
      <c r="P747" t="s">
        <v>28</v>
      </c>
      <c r="Q747">
        <v>2025</v>
      </c>
    </row>
    <row r="748" spans="1:17" hidden="1" x14ac:dyDescent="0.3">
      <c r="A748" t="s">
        <v>29</v>
      </c>
      <c r="B748" t="s">
        <v>175</v>
      </c>
      <c r="C748">
        <v>313</v>
      </c>
      <c r="D748">
        <v>8</v>
      </c>
      <c r="E748"/>
      <c r="F748">
        <v>64</v>
      </c>
      <c r="G748">
        <v>64</v>
      </c>
      <c r="H748"/>
      <c r="I748">
        <v>6000</v>
      </c>
      <c r="J748">
        <v>6.1</v>
      </c>
      <c r="K748">
        <v>33</v>
      </c>
      <c r="L748" t="s">
        <v>17</v>
      </c>
      <c r="M748" t="s">
        <v>18</v>
      </c>
      <c r="N748" t="s">
        <v>27</v>
      </c>
      <c r="O748">
        <v>4.5999999999999996</v>
      </c>
      <c r="P748" t="s">
        <v>46</v>
      </c>
      <c r="Q748">
        <v>2025</v>
      </c>
    </row>
    <row r="749" spans="1:17" hidden="1" x14ac:dyDescent="0.3">
      <c r="A749" t="s">
        <v>49</v>
      </c>
      <c r="B749" t="s">
        <v>171</v>
      </c>
      <c r="C749">
        <v>1052</v>
      </c>
      <c r="D749">
        <v>6</v>
      </c>
      <c r="E749" s="8">
        <f t="shared" ref="E749:E750" si="74">C749/D749</f>
        <v>175.33333333333334</v>
      </c>
      <c r="F749">
        <v>512</v>
      </c>
      <c r="G749">
        <v>200</v>
      </c>
      <c r="H749" s="8">
        <f t="shared" ref="H749:H750" si="75">C749/G749</f>
        <v>5.26</v>
      </c>
      <c r="I749">
        <v>5500</v>
      </c>
      <c r="J749">
        <v>7.1</v>
      </c>
      <c r="K749">
        <v>33</v>
      </c>
      <c r="L749" t="s">
        <v>17</v>
      </c>
      <c r="M749" t="s">
        <v>18</v>
      </c>
      <c r="N749" t="s">
        <v>23</v>
      </c>
      <c r="O749">
        <v>4.5999999999999996</v>
      </c>
      <c r="P749" t="s">
        <v>24</v>
      </c>
      <c r="Q749">
        <v>2025</v>
      </c>
    </row>
    <row r="750" spans="1:17" x14ac:dyDescent="0.3">
      <c r="A750" t="s">
        <v>25</v>
      </c>
      <c r="B750" t="s">
        <v>174</v>
      </c>
      <c r="C750">
        <v>350</v>
      </c>
      <c r="D750">
        <v>6</v>
      </c>
      <c r="E750" s="8">
        <f t="shared" si="74"/>
        <v>58.333333333333336</v>
      </c>
      <c r="F750">
        <v>512</v>
      </c>
      <c r="G750">
        <v>12</v>
      </c>
      <c r="H750" s="8">
        <f t="shared" si="75"/>
        <v>29.166666666666668</v>
      </c>
      <c r="I750">
        <v>4000</v>
      </c>
      <c r="J750">
        <v>6.1</v>
      </c>
      <c r="K750">
        <v>44</v>
      </c>
      <c r="L750" t="s">
        <v>38</v>
      </c>
      <c r="M750" t="s">
        <v>18</v>
      </c>
      <c r="N750" t="s">
        <v>19</v>
      </c>
      <c r="O750">
        <v>4.5999999999999996</v>
      </c>
      <c r="P750" t="s">
        <v>42</v>
      </c>
      <c r="Q750">
        <v>2025</v>
      </c>
    </row>
    <row r="751" spans="1:17" hidden="1" x14ac:dyDescent="0.3">
      <c r="A751" t="s">
        <v>36</v>
      </c>
      <c r="B751" t="s">
        <v>326</v>
      </c>
      <c r="C751">
        <v>255</v>
      </c>
      <c r="D751">
        <v>8</v>
      </c>
      <c r="E751"/>
      <c r="F751">
        <v>64</v>
      </c>
      <c r="G751">
        <v>200</v>
      </c>
      <c r="H751"/>
      <c r="I751">
        <v>6000</v>
      </c>
      <c r="J751">
        <v>6.7</v>
      </c>
      <c r="K751">
        <v>65</v>
      </c>
      <c r="L751" t="s">
        <v>17</v>
      </c>
      <c r="M751" t="s">
        <v>18</v>
      </c>
      <c r="N751" t="s">
        <v>51</v>
      </c>
      <c r="O751">
        <v>4.5999999999999996</v>
      </c>
      <c r="P751" t="s">
        <v>24</v>
      </c>
      <c r="Q751">
        <v>2025</v>
      </c>
    </row>
    <row r="752" spans="1:17" x14ac:dyDescent="0.3">
      <c r="A752" t="s">
        <v>15</v>
      </c>
      <c r="B752" t="s">
        <v>845</v>
      </c>
      <c r="C752">
        <v>930</v>
      </c>
      <c r="D752">
        <v>8</v>
      </c>
      <c r="E752" s="8">
        <f>C752/D752</f>
        <v>116.25</v>
      </c>
      <c r="F752">
        <v>1024</v>
      </c>
      <c r="G752">
        <v>64</v>
      </c>
      <c r="H752" s="8">
        <f>C752/G752</f>
        <v>14.53125</v>
      </c>
      <c r="I752">
        <v>5000</v>
      </c>
      <c r="J752">
        <v>6.3</v>
      </c>
      <c r="K752">
        <v>44</v>
      </c>
      <c r="L752" t="s">
        <v>38</v>
      </c>
      <c r="M752" t="s">
        <v>18</v>
      </c>
      <c r="N752" t="s">
        <v>27</v>
      </c>
      <c r="O752">
        <v>4.5999999999999996</v>
      </c>
      <c r="P752" t="s">
        <v>82</v>
      </c>
      <c r="Q752">
        <v>2025</v>
      </c>
    </row>
    <row r="753" spans="1:17" hidden="1" x14ac:dyDescent="0.3">
      <c r="A753" t="s">
        <v>49</v>
      </c>
      <c r="B753" t="s">
        <v>350</v>
      </c>
      <c r="C753">
        <v>255</v>
      </c>
      <c r="D753">
        <v>8</v>
      </c>
      <c r="E753"/>
      <c r="F753">
        <v>512</v>
      </c>
      <c r="G753">
        <v>64</v>
      </c>
      <c r="H753"/>
      <c r="I753">
        <v>6000</v>
      </c>
      <c r="J753">
        <v>6.7</v>
      </c>
      <c r="K753">
        <v>100</v>
      </c>
      <c r="L753" t="s">
        <v>38</v>
      </c>
      <c r="M753" t="s">
        <v>18</v>
      </c>
      <c r="N753" t="s">
        <v>51</v>
      </c>
      <c r="O753">
        <v>4.5999999999999996</v>
      </c>
      <c r="P753" t="s">
        <v>24</v>
      </c>
      <c r="Q753">
        <v>2025</v>
      </c>
    </row>
    <row r="754" spans="1:17" hidden="1" x14ac:dyDescent="0.3">
      <c r="A754" t="s">
        <v>66</v>
      </c>
      <c r="B754" t="s">
        <v>403</v>
      </c>
      <c r="C754">
        <v>1143</v>
      </c>
      <c r="D754">
        <v>8</v>
      </c>
      <c r="E754"/>
      <c r="F754">
        <v>256</v>
      </c>
      <c r="G754">
        <v>64</v>
      </c>
      <c r="H754"/>
      <c r="I754">
        <v>5500</v>
      </c>
      <c r="J754">
        <v>7</v>
      </c>
      <c r="K754">
        <v>120</v>
      </c>
      <c r="L754" t="s">
        <v>38</v>
      </c>
      <c r="M754" t="s">
        <v>18</v>
      </c>
      <c r="N754" t="s">
        <v>31</v>
      </c>
      <c r="O754">
        <v>4.5999999999999996</v>
      </c>
      <c r="P754" t="s">
        <v>46</v>
      </c>
      <c r="Q754">
        <v>2025</v>
      </c>
    </row>
    <row r="755" spans="1:17" x14ac:dyDescent="0.3">
      <c r="A755" t="s">
        <v>15</v>
      </c>
      <c r="B755" t="s">
        <v>924</v>
      </c>
      <c r="C755">
        <v>1004</v>
      </c>
      <c r="D755">
        <v>6</v>
      </c>
      <c r="E755" s="8">
        <f>C755/D755</f>
        <v>167.33333333333334</v>
      </c>
      <c r="F755">
        <v>512</v>
      </c>
      <c r="G755">
        <v>12</v>
      </c>
      <c r="H755" s="8">
        <f>C755/G755</f>
        <v>83.666666666666671</v>
      </c>
      <c r="I755">
        <v>4500</v>
      </c>
      <c r="J755">
        <v>6</v>
      </c>
      <c r="K755">
        <v>65</v>
      </c>
      <c r="L755" t="s">
        <v>38</v>
      </c>
      <c r="M755" t="s">
        <v>18</v>
      </c>
      <c r="N755" t="s">
        <v>31</v>
      </c>
      <c r="O755">
        <v>4.5999999999999996</v>
      </c>
      <c r="P755" t="s">
        <v>20</v>
      </c>
      <c r="Q755">
        <v>2025</v>
      </c>
    </row>
    <row r="756" spans="1:17" hidden="1" x14ac:dyDescent="0.3">
      <c r="A756" t="s">
        <v>36</v>
      </c>
      <c r="B756" t="s">
        <v>617</v>
      </c>
      <c r="C756">
        <v>118</v>
      </c>
      <c r="D756">
        <v>8</v>
      </c>
      <c r="E756"/>
      <c r="F756">
        <v>64</v>
      </c>
      <c r="G756">
        <v>48</v>
      </c>
      <c r="H756"/>
      <c r="I756">
        <v>6000</v>
      </c>
      <c r="J756">
        <v>6.2</v>
      </c>
      <c r="K756">
        <v>44</v>
      </c>
      <c r="L756" t="s">
        <v>17</v>
      </c>
      <c r="M756" t="s">
        <v>18</v>
      </c>
      <c r="N756" t="s">
        <v>51</v>
      </c>
      <c r="O756">
        <v>4.5999999999999996</v>
      </c>
      <c r="P756" t="s">
        <v>42</v>
      </c>
      <c r="Q756">
        <v>2025</v>
      </c>
    </row>
    <row r="757" spans="1:17" hidden="1" x14ac:dyDescent="0.3">
      <c r="A757" t="s">
        <v>36</v>
      </c>
      <c r="B757" t="s">
        <v>631</v>
      </c>
      <c r="C757">
        <v>1414</v>
      </c>
      <c r="D757">
        <v>8</v>
      </c>
      <c r="E757"/>
      <c r="F757">
        <v>64</v>
      </c>
      <c r="G757">
        <v>48</v>
      </c>
      <c r="H757"/>
      <c r="I757">
        <v>5500</v>
      </c>
      <c r="J757">
        <v>6</v>
      </c>
      <c r="K757">
        <v>100</v>
      </c>
      <c r="L757" t="s">
        <v>38</v>
      </c>
      <c r="M757" t="s">
        <v>18</v>
      </c>
      <c r="N757" t="s">
        <v>27</v>
      </c>
      <c r="O757">
        <v>4.5999999999999996</v>
      </c>
      <c r="P757" t="s">
        <v>28</v>
      </c>
      <c r="Q757">
        <v>2025</v>
      </c>
    </row>
    <row r="758" spans="1:17" x14ac:dyDescent="0.3">
      <c r="A758" t="s">
        <v>36</v>
      </c>
      <c r="B758" t="s">
        <v>313</v>
      </c>
      <c r="C758">
        <v>304</v>
      </c>
      <c r="D758">
        <v>6</v>
      </c>
      <c r="E758" s="8">
        <f t="shared" ref="E758:E760" si="76">C758/D758</f>
        <v>50.666666666666664</v>
      </c>
      <c r="F758">
        <v>512</v>
      </c>
      <c r="G758">
        <v>64</v>
      </c>
      <c r="H758" s="8">
        <f t="shared" ref="H758:H760" si="77">C758/G758</f>
        <v>4.75</v>
      </c>
      <c r="I758">
        <v>4000</v>
      </c>
      <c r="J758">
        <v>6.8</v>
      </c>
      <c r="K758">
        <v>65</v>
      </c>
      <c r="L758" t="s">
        <v>38</v>
      </c>
      <c r="M758" t="s">
        <v>18</v>
      </c>
      <c r="N758" t="s">
        <v>35</v>
      </c>
      <c r="O758">
        <v>4.5999999999999996</v>
      </c>
      <c r="P758" t="s">
        <v>64</v>
      </c>
      <c r="Q758">
        <v>2025</v>
      </c>
    </row>
    <row r="759" spans="1:17" hidden="1" x14ac:dyDescent="0.3">
      <c r="A759" t="s">
        <v>15</v>
      </c>
      <c r="B759" t="s">
        <v>378</v>
      </c>
      <c r="C759">
        <v>1300</v>
      </c>
      <c r="D759">
        <v>6</v>
      </c>
      <c r="E759" s="8">
        <f t="shared" si="76"/>
        <v>216.66666666666666</v>
      </c>
      <c r="F759">
        <v>512</v>
      </c>
      <c r="G759">
        <v>200</v>
      </c>
      <c r="H759" s="8">
        <f t="shared" si="77"/>
        <v>6.5</v>
      </c>
      <c r="I759">
        <v>4000</v>
      </c>
      <c r="J759">
        <v>5.7</v>
      </c>
      <c r="K759">
        <v>100</v>
      </c>
      <c r="L759" t="s">
        <v>17</v>
      </c>
      <c r="M759" t="s">
        <v>18</v>
      </c>
      <c r="N759" t="s">
        <v>27</v>
      </c>
      <c r="O759">
        <v>4.5999999999999996</v>
      </c>
      <c r="P759" t="s">
        <v>20</v>
      </c>
      <c r="Q759">
        <v>2025</v>
      </c>
    </row>
    <row r="760" spans="1:17" x14ac:dyDescent="0.3">
      <c r="A760" t="s">
        <v>15</v>
      </c>
      <c r="B760" t="s">
        <v>134</v>
      </c>
      <c r="C760">
        <v>1190</v>
      </c>
      <c r="D760">
        <v>4</v>
      </c>
      <c r="E760" s="8">
        <f t="shared" si="76"/>
        <v>297.5</v>
      </c>
      <c r="F760">
        <v>128</v>
      </c>
      <c r="G760">
        <v>12</v>
      </c>
      <c r="H760" s="8">
        <f t="shared" si="77"/>
        <v>99.166666666666671</v>
      </c>
      <c r="I760">
        <v>5500</v>
      </c>
      <c r="J760">
        <v>6.1</v>
      </c>
      <c r="K760">
        <v>100</v>
      </c>
      <c r="L760" t="s">
        <v>38</v>
      </c>
      <c r="M760" t="s">
        <v>18</v>
      </c>
      <c r="N760" t="s">
        <v>35</v>
      </c>
      <c r="O760">
        <v>4.5999999999999996</v>
      </c>
      <c r="P760" t="s">
        <v>64</v>
      </c>
      <c r="Q760">
        <v>2025</v>
      </c>
    </row>
    <row r="761" spans="1:17" hidden="1" x14ac:dyDescent="0.3">
      <c r="A761" t="s">
        <v>21</v>
      </c>
      <c r="B761" t="s">
        <v>1038</v>
      </c>
      <c r="C761">
        <v>895</v>
      </c>
      <c r="D761">
        <v>8</v>
      </c>
      <c r="E761"/>
      <c r="F761">
        <v>64</v>
      </c>
      <c r="G761">
        <v>48</v>
      </c>
      <c r="H761"/>
      <c r="I761">
        <v>5000</v>
      </c>
      <c r="J761">
        <v>7</v>
      </c>
      <c r="K761">
        <v>65</v>
      </c>
      <c r="L761" t="s">
        <v>38</v>
      </c>
      <c r="M761" t="s">
        <v>18</v>
      </c>
      <c r="N761" t="s">
        <v>27</v>
      </c>
      <c r="O761">
        <v>4.5999999999999996</v>
      </c>
      <c r="P761" t="s">
        <v>24</v>
      </c>
      <c r="Q761">
        <v>2025</v>
      </c>
    </row>
    <row r="762" spans="1:17" hidden="1" x14ac:dyDescent="0.3">
      <c r="A762" t="s">
        <v>66</v>
      </c>
      <c r="B762" t="s">
        <v>180</v>
      </c>
      <c r="C762">
        <v>476</v>
      </c>
      <c r="D762">
        <v>12</v>
      </c>
      <c r="E762"/>
      <c r="F762">
        <v>1024</v>
      </c>
      <c r="G762">
        <v>48</v>
      </c>
      <c r="H762"/>
      <c r="I762">
        <v>5500</v>
      </c>
      <c r="J762">
        <v>6.9</v>
      </c>
      <c r="K762">
        <v>100</v>
      </c>
      <c r="L762" t="s">
        <v>38</v>
      </c>
      <c r="M762" t="s">
        <v>18</v>
      </c>
      <c r="N762" t="s">
        <v>48</v>
      </c>
      <c r="O762">
        <v>4.5999999999999996</v>
      </c>
      <c r="P762" t="s">
        <v>24</v>
      </c>
      <c r="Q762">
        <v>2025</v>
      </c>
    </row>
    <row r="763" spans="1:17" hidden="1" x14ac:dyDescent="0.3">
      <c r="A763" t="s">
        <v>15</v>
      </c>
      <c r="B763" t="s">
        <v>294</v>
      </c>
      <c r="C763">
        <v>1480</v>
      </c>
      <c r="D763">
        <v>4</v>
      </c>
      <c r="E763" s="8">
        <f>C763/D763</f>
        <v>370</v>
      </c>
      <c r="F763">
        <v>512</v>
      </c>
      <c r="G763">
        <v>48</v>
      </c>
      <c r="H763" s="8">
        <f>C763/G763</f>
        <v>30.833333333333332</v>
      </c>
      <c r="I763">
        <v>5000</v>
      </c>
      <c r="J763">
        <v>6.4</v>
      </c>
      <c r="K763">
        <v>100</v>
      </c>
      <c r="L763" t="s">
        <v>17</v>
      </c>
      <c r="M763" t="s">
        <v>18</v>
      </c>
      <c r="N763" t="s">
        <v>31</v>
      </c>
      <c r="O763">
        <v>4.5999999999999996</v>
      </c>
      <c r="P763" t="s">
        <v>20</v>
      </c>
      <c r="Q763">
        <v>2025</v>
      </c>
    </row>
    <row r="764" spans="1:17" hidden="1" x14ac:dyDescent="0.3">
      <c r="A764" t="s">
        <v>32</v>
      </c>
      <c r="B764" t="s">
        <v>279</v>
      </c>
      <c r="C764">
        <v>377</v>
      </c>
      <c r="D764">
        <v>12</v>
      </c>
      <c r="E764"/>
      <c r="F764">
        <v>512</v>
      </c>
      <c r="G764">
        <v>200</v>
      </c>
      <c r="H764"/>
      <c r="I764">
        <v>5000</v>
      </c>
      <c r="J764">
        <v>7</v>
      </c>
      <c r="K764">
        <v>44</v>
      </c>
      <c r="L764" t="s">
        <v>17</v>
      </c>
      <c r="M764" t="s">
        <v>34</v>
      </c>
      <c r="N764" t="s">
        <v>19</v>
      </c>
      <c r="O764">
        <v>4.5999999999999996</v>
      </c>
      <c r="P764" t="s">
        <v>46</v>
      </c>
      <c r="Q764">
        <v>2025</v>
      </c>
    </row>
    <row r="765" spans="1:17" hidden="1" x14ac:dyDescent="0.3">
      <c r="A765" t="s">
        <v>36</v>
      </c>
      <c r="B765" t="s">
        <v>596</v>
      </c>
      <c r="C765">
        <v>299</v>
      </c>
      <c r="D765">
        <v>12</v>
      </c>
      <c r="E765"/>
      <c r="F765">
        <v>512</v>
      </c>
      <c r="G765">
        <v>50</v>
      </c>
      <c r="H765"/>
      <c r="I765">
        <v>4000</v>
      </c>
      <c r="J765">
        <v>6.5</v>
      </c>
      <c r="K765">
        <v>65</v>
      </c>
      <c r="L765" t="s">
        <v>17</v>
      </c>
      <c r="M765" t="s">
        <v>18</v>
      </c>
      <c r="N765" t="s">
        <v>19</v>
      </c>
      <c r="O765">
        <v>4.5999999999999996</v>
      </c>
      <c r="P765" t="s">
        <v>46</v>
      </c>
      <c r="Q765">
        <v>2025</v>
      </c>
    </row>
    <row r="766" spans="1:17" hidden="1" x14ac:dyDescent="0.3">
      <c r="A766" t="s">
        <v>21</v>
      </c>
      <c r="B766" t="s">
        <v>784</v>
      </c>
      <c r="C766">
        <v>1351</v>
      </c>
      <c r="D766">
        <v>12</v>
      </c>
      <c r="E766"/>
      <c r="F766">
        <v>512</v>
      </c>
      <c r="G766">
        <v>200</v>
      </c>
      <c r="H766"/>
      <c r="I766">
        <v>6000</v>
      </c>
      <c r="J766">
        <v>6.5</v>
      </c>
      <c r="K766">
        <v>65</v>
      </c>
      <c r="L766" t="s">
        <v>17</v>
      </c>
      <c r="M766" t="s">
        <v>18</v>
      </c>
      <c r="N766" t="s">
        <v>23</v>
      </c>
      <c r="O766">
        <v>4.5999999999999996</v>
      </c>
      <c r="P766" t="s">
        <v>54</v>
      </c>
      <c r="Q766">
        <v>2025</v>
      </c>
    </row>
    <row r="767" spans="1:17" x14ac:dyDescent="0.3">
      <c r="A767" t="s">
        <v>40</v>
      </c>
      <c r="B767" t="s">
        <v>804</v>
      </c>
      <c r="C767">
        <v>840</v>
      </c>
      <c r="D767">
        <v>8</v>
      </c>
      <c r="E767" s="8">
        <f>C767/D767</f>
        <v>105</v>
      </c>
      <c r="F767">
        <v>1024</v>
      </c>
      <c r="G767">
        <v>64</v>
      </c>
      <c r="H767" s="8">
        <f>C767/G767</f>
        <v>13.125</v>
      </c>
      <c r="I767">
        <v>4500</v>
      </c>
      <c r="J767">
        <v>6.9</v>
      </c>
      <c r="K767">
        <v>100</v>
      </c>
      <c r="L767" t="s">
        <v>38</v>
      </c>
      <c r="M767" t="s">
        <v>18</v>
      </c>
      <c r="N767" t="s">
        <v>48</v>
      </c>
      <c r="O767">
        <v>4.5999999999999996</v>
      </c>
      <c r="P767" t="s">
        <v>20</v>
      </c>
      <c r="Q767">
        <v>2025</v>
      </c>
    </row>
    <row r="768" spans="1:17" hidden="1" x14ac:dyDescent="0.3">
      <c r="A768" t="s">
        <v>21</v>
      </c>
      <c r="B768" t="s">
        <v>987</v>
      </c>
      <c r="C768">
        <v>423</v>
      </c>
      <c r="D768">
        <v>12</v>
      </c>
      <c r="E768"/>
      <c r="F768">
        <v>256</v>
      </c>
      <c r="G768">
        <v>48</v>
      </c>
      <c r="H768"/>
      <c r="I768">
        <v>4000</v>
      </c>
      <c r="J768">
        <v>6.5</v>
      </c>
      <c r="K768">
        <v>44</v>
      </c>
      <c r="L768" t="s">
        <v>17</v>
      </c>
      <c r="M768" t="s">
        <v>18</v>
      </c>
      <c r="N768" t="s">
        <v>48</v>
      </c>
      <c r="O768">
        <v>4.5999999999999996</v>
      </c>
      <c r="P768" t="s">
        <v>71</v>
      </c>
      <c r="Q768">
        <v>2025</v>
      </c>
    </row>
    <row r="769" spans="1:17" hidden="1" x14ac:dyDescent="0.3">
      <c r="A769" t="s">
        <v>49</v>
      </c>
      <c r="B769" t="s">
        <v>270</v>
      </c>
      <c r="C769">
        <v>167</v>
      </c>
      <c r="D769">
        <v>16</v>
      </c>
      <c r="E769"/>
      <c r="F769">
        <v>256</v>
      </c>
      <c r="G769">
        <v>48</v>
      </c>
      <c r="H769"/>
      <c r="I769">
        <v>4000</v>
      </c>
      <c r="J769">
        <v>6.7</v>
      </c>
      <c r="K769">
        <v>120</v>
      </c>
      <c r="L769" t="s">
        <v>17</v>
      </c>
      <c r="M769" t="s">
        <v>18</v>
      </c>
      <c r="N769" t="s">
        <v>27</v>
      </c>
      <c r="O769">
        <v>4.5999999999999996</v>
      </c>
      <c r="P769" t="s">
        <v>71</v>
      </c>
      <c r="Q769">
        <v>2025</v>
      </c>
    </row>
    <row r="770" spans="1:17" hidden="1" x14ac:dyDescent="0.3">
      <c r="A770" t="s">
        <v>29</v>
      </c>
      <c r="B770" t="s">
        <v>504</v>
      </c>
      <c r="C770">
        <v>410</v>
      </c>
      <c r="D770">
        <v>8</v>
      </c>
      <c r="E770" s="8">
        <f t="shared" ref="E770:E771" si="78">C770/D770</f>
        <v>51.25</v>
      </c>
      <c r="F770">
        <v>512</v>
      </c>
      <c r="G770">
        <v>12</v>
      </c>
      <c r="H770" s="8">
        <f t="shared" ref="H770:H771" si="79">C770/G770</f>
        <v>34.166666666666664</v>
      </c>
      <c r="I770">
        <v>5500</v>
      </c>
      <c r="J770">
        <v>6</v>
      </c>
      <c r="K770">
        <v>120</v>
      </c>
      <c r="L770" t="s">
        <v>17</v>
      </c>
      <c r="M770" t="s">
        <v>18</v>
      </c>
      <c r="N770" t="s">
        <v>48</v>
      </c>
      <c r="O770">
        <v>4.5999999999999996</v>
      </c>
      <c r="P770" t="s">
        <v>20</v>
      </c>
      <c r="Q770">
        <v>2025</v>
      </c>
    </row>
    <row r="771" spans="1:17" x14ac:dyDescent="0.3">
      <c r="A771" t="s">
        <v>36</v>
      </c>
      <c r="B771" t="s">
        <v>338</v>
      </c>
      <c r="C771">
        <v>1047</v>
      </c>
      <c r="D771">
        <v>8</v>
      </c>
      <c r="E771" s="8">
        <f t="shared" si="78"/>
        <v>130.875</v>
      </c>
      <c r="F771">
        <v>1024</v>
      </c>
      <c r="G771">
        <v>12</v>
      </c>
      <c r="H771" s="8">
        <f t="shared" si="79"/>
        <v>87.25</v>
      </c>
      <c r="I771">
        <v>4500</v>
      </c>
      <c r="J771">
        <v>6.2</v>
      </c>
      <c r="K771">
        <v>120</v>
      </c>
      <c r="L771" t="s">
        <v>38</v>
      </c>
      <c r="M771" t="s">
        <v>18</v>
      </c>
      <c r="N771" t="s">
        <v>23</v>
      </c>
      <c r="O771">
        <v>4.5999999999999996</v>
      </c>
      <c r="P771" t="s">
        <v>42</v>
      </c>
      <c r="Q771">
        <v>2025</v>
      </c>
    </row>
    <row r="772" spans="1:17" hidden="1" x14ac:dyDescent="0.3">
      <c r="A772" t="s">
        <v>29</v>
      </c>
      <c r="B772" t="s">
        <v>509</v>
      </c>
      <c r="C772">
        <v>437</v>
      </c>
      <c r="D772">
        <v>16</v>
      </c>
      <c r="E772"/>
      <c r="F772">
        <v>128</v>
      </c>
      <c r="G772">
        <v>12</v>
      </c>
      <c r="H772"/>
      <c r="I772">
        <v>6000</v>
      </c>
      <c r="J772">
        <v>6.6</v>
      </c>
      <c r="K772">
        <v>120</v>
      </c>
      <c r="L772" t="s">
        <v>17</v>
      </c>
      <c r="M772" t="s">
        <v>18</v>
      </c>
      <c r="N772" t="s">
        <v>51</v>
      </c>
      <c r="O772">
        <v>4.5999999999999996</v>
      </c>
      <c r="P772" t="s">
        <v>39</v>
      </c>
      <c r="Q772">
        <v>2025</v>
      </c>
    </row>
    <row r="773" spans="1:17" hidden="1" x14ac:dyDescent="0.3">
      <c r="A773" t="s">
        <v>66</v>
      </c>
      <c r="B773" t="s">
        <v>639</v>
      </c>
      <c r="C773">
        <v>969</v>
      </c>
      <c r="D773">
        <v>16</v>
      </c>
      <c r="E773"/>
      <c r="F773">
        <v>256</v>
      </c>
      <c r="G773">
        <v>108</v>
      </c>
      <c r="H773"/>
      <c r="I773">
        <v>6000</v>
      </c>
      <c r="J773">
        <v>6.8</v>
      </c>
      <c r="K773">
        <v>120</v>
      </c>
      <c r="L773" t="s">
        <v>38</v>
      </c>
      <c r="M773" t="s">
        <v>18</v>
      </c>
      <c r="N773" t="s">
        <v>61</v>
      </c>
      <c r="O773">
        <v>4.5999999999999996</v>
      </c>
      <c r="P773" t="s">
        <v>64</v>
      </c>
      <c r="Q773">
        <v>2025</v>
      </c>
    </row>
    <row r="774" spans="1:17" hidden="1" x14ac:dyDescent="0.3">
      <c r="A774" t="s">
        <v>49</v>
      </c>
      <c r="B774" t="s">
        <v>651</v>
      </c>
      <c r="C774">
        <v>896</v>
      </c>
      <c r="D774">
        <v>16</v>
      </c>
      <c r="E774"/>
      <c r="F774">
        <v>1024</v>
      </c>
      <c r="G774">
        <v>108</v>
      </c>
      <c r="H774"/>
      <c r="I774">
        <v>4000</v>
      </c>
      <c r="J774">
        <v>6.7</v>
      </c>
      <c r="K774">
        <v>65</v>
      </c>
      <c r="L774" t="s">
        <v>38</v>
      </c>
      <c r="M774" t="s">
        <v>18</v>
      </c>
      <c r="N774" t="s">
        <v>61</v>
      </c>
      <c r="O774">
        <v>4.5999999999999996</v>
      </c>
      <c r="P774" t="s">
        <v>42</v>
      </c>
      <c r="Q774">
        <v>2025</v>
      </c>
    </row>
    <row r="775" spans="1:17" hidden="1" x14ac:dyDescent="0.3">
      <c r="A775" t="s">
        <v>21</v>
      </c>
      <c r="B775" t="s">
        <v>713</v>
      </c>
      <c r="C775">
        <v>834</v>
      </c>
      <c r="D775">
        <v>16</v>
      </c>
      <c r="E775"/>
      <c r="F775">
        <v>128</v>
      </c>
      <c r="G775">
        <v>50</v>
      </c>
      <c r="H775"/>
      <c r="I775">
        <v>5000</v>
      </c>
      <c r="J775">
        <v>6.2</v>
      </c>
      <c r="K775">
        <v>33</v>
      </c>
      <c r="L775" t="s">
        <v>17</v>
      </c>
      <c r="M775" t="s">
        <v>18</v>
      </c>
      <c r="N775" t="s">
        <v>35</v>
      </c>
      <c r="O775">
        <v>4.5999999999999996</v>
      </c>
      <c r="P775" t="s">
        <v>42</v>
      </c>
      <c r="Q775">
        <v>2025</v>
      </c>
    </row>
    <row r="776" spans="1:17" hidden="1" x14ac:dyDescent="0.3">
      <c r="A776" t="s">
        <v>29</v>
      </c>
      <c r="B776" t="s">
        <v>734</v>
      </c>
      <c r="C776">
        <v>1345</v>
      </c>
      <c r="D776">
        <v>16</v>
      </c>
      <c r="E776"/>
      <c r="F776">
        <v>512</v>
      </c>
      <c r="G776">
        <v>200</v>
      </c>
      <c r="H776"/>
      <c r="I776">
        <v>4500</v>
      </c>
      <c r="J776">
        <v>6.7</v>
      </c>
      <c r="K776">
        <v>120</v>
      </c>
      <c r="L776" t="s">
        <v>38</v>
      </c>
      <c r="M776" t="s">
        <v>18</v>
      </c>
      <c r="N776" t="s">
        <v>31</v>
      </c>
      <c r="O776">
        <v>4.5999999999999996</v>
      </c>
      <c r="P776" t="s">
        <v>82</v>
      </c>
      <c r="Q776">
        <v>2025</v>
      </c>
    </row>
    <row r="777" spans="1:17" hidden="1" x14ac:dyDescent="0.3">
      <c r="A777" t="s">
        <v>15</v>
      </c>
      <c r="B777" t="s">
        <v>262</v>
      </c>
      <c r="C777">
        <v>1075</v>
      </c>
      <c r="D777">
        <v>6</v>
      </c>
      <c r="E777" s="8">
        <f>C777/D777</f>
        <v>179.16666666666666</v>
      </c>
      <c r="F777">
        <v>64</v>
      </c>
      <c r="G777">
        <v>50</v>
      </c>
      <c r="H777" s="8">
        <f>C777/G777</f>
        <v>21.5</v>
      </c>
      <c r="I777">
        <v>4000</v>
      </c>
      <c r="J777">
        <v>6.6</v>
      </c>
      <c r="K777">
        <v>120</v>
      </c>
      <c r="L777" t="s">
        <v>17</v>
      </c>
      <c r="M777" t="s">
        <v>18</v>
      </c>
      <c r="N777" t="s">
        <v>23</v>
      </c>
      <c r="O777">
        <v>4.5999999999999996</v>
      </c>
      <c r="P777" t="s">
        <v>39</v>
      </c>
      <c r="Q777">
        <v>2025</v>
      </c>
    </row>
    <row r="778" spans="1:17" hidden="1" x14ac:dyDescent="0.3">
      <c r="A778" t="s">
        <v>32</v>
      </c>
      <c r="B778" t="s">
        <v>930</v>
      </c>
      <c r="C778">
        <v>731</v>
      </c>
      <c r="D778">
        <v>16</v>
      </c>
      <c r="E778"/>
      <c r="F778">
        <v>64</v>
      </c>
      <c r="G778">
        <v>64</v>
      </c>
      <c r="H778"/>
      <c r="I778">
        <v>5500</v>
      </c>
      <c r="J778">
        <v>6.8</v>
      </c>
      <c r="K778">
        <v>100</v>
      </c>
      <c r="L778" t="s">
        <v>38</v>
      </c>
      <c r="M778" t="s">
        <v>34</v>
      </c>
      <c r="N778" t="s">
        <v>31</v>
      </c>
      <c r="O778">
        <v>4.5999999999999996</v>
      </c>
      <c r="P778" t="s">
        <v>39</v>
      </c>
      <c r="Q778">
        <v>2025</v>
      </c>
    </row>
    <row r="779" spans="1:17" hidden="1" x14ac:dyDescent="0.3">
      <c r="A779" t="s">
        <v>25</v>
      </c>
      <c r="B779" t="s">
        <v>79</v>
      </c>
      <c r="C779">
        <v>657</v>
      </c>
      <c r="D779">
        <v>4</v>
      </c>
      <c r="E779"/>
      <c r="F779">
        <v>512</v>
      </c>
      <c r="G779">
        <v>50</v>
      </c>
      <c r="H779"/>
      <c r="I779">
        <v>4000</v>
      </c>
      <c r="J779">
        <v>7.2</v>
      </c>
      <c r="K779">
        <v>33</v>
      </c>
      <c r="L779" t="s">
        <v>38</v>
      </c>
      <c r="M779" t="s">
        <v>18</v>
      </c>
      <c r="N779" t="s">
        <v>51</v>
      </c>
      <c r="O779">
        <v>4.7</v>
      </c>
      <c r="P779" t="s">
        <v>56</v>
      </c>
      <c r="Q779">
        <v>2025</v>
      </c>
    </row>
    <row r="780" spans="1:17" hidden="1" x14ac:dyDescent="0.3">
      <c r="A780" t="s">
        <v>25</v>
      </c>
      <c r="B780" t="s">
        <v>138</v>
      </c>
      <c r="C780">
        <v>1442</v>
      </c>
      <c r="D780">
        <v>4</v>
      </c>
      <c r="E780"/>
      <c r="F780">
        <v>128</v>
      </c>
      <c r="G780">
        <v>108</v>
      </c>
      <c r="H780"/>
      <c r="I780">
        <v>4500</v>
      </c>
      <c r="J780">
        <v>6.5</v>
      </c>
      <c r="K780">
        <v>18</v>
      </c>
      <c r="L780" t="s">
        <v>38</v>
      </c>
      <c r="M780" t="s">
        <v>18</v>
      </c>
      <c r="N780" t="s">
        <v>61</v>
      </c>
      <c r="O780">
        <v>4.7</v>
      </c>
      <c r="P780" t="s">
        <v>54</v>
      </c>
      <c r="Q780">
        <v>2025</v>
      </c>
    </row>
    <row r="781" spans="1:17" hidden="1" x14ac:dyDescent="0.3">
      <c r="A781" t="s">
        <v>15</v>
      </c>
      <c r="B781" t="s">
        <v>221</v>
      </c>
      <c r="C781">
        <v>1143</v>
      </c>
      <c r="D781">
        <v>4</v>
      </c>
      <c r="E781"/>
      <c r="F781">
        <v>128</v>
      </c>
      <c r="G781">
        <v>50</v>
      </c>
      <c r="H781"/>
      <c r="I781">
        <v>5000</v>
      </c>
      <c r="J781">
        <v>6.1</v>
      </c>
      <c r="K781">
        <v>100</v>
      </c>
      <c r="L781" t="s">
        <v>38</v>
      </c>
      <c r="M781" t="s">
        <v>18</v>
      </c>
      <c r="N781" t="s">
        <v>35</v>
      </c>
      <c r="O781">
        <v>4.7</v>
      </c>
      <c r="P781" t="s">
        <v>56</v>
      </c>
      <c r="Q781">
        <v>2025</v>
      </c>
    </row>
    <row r="782" spans="1:17" x14ac:dyDescent="0.3">
      <c r="A782" t="s">
        <v>21</v>
      </c>
      <c r="B782" t="s">
        <v>880</v>
      </c>
      <c r="C782">
        <v>410</v>
      </c>
      <c r="D782">
        <v>8</v>
      </c>
      <c r="E782" s="8">
        <f>C782/D782</f>
        <v>51.25</v>
      </c>
      <c r="F782">
        <v>64</v>
      </c>
      <c r="G782">
        <v>12</v>
      </c>
      <c r="H782" s="8">
        <f>C782/G782</f>
        <v>34.166666666666664</v>
      </c>
      <c r="I782">
        <v>5500</v>
      </c>
      <c r="J782">
        <v>5.9</v>
      </c>
      <c r="K782">
        <v>18</v>
      </c>
      <c r="L782" t="s">
        <v>38</v>
      </c>
      <c r="M782" t="s">
        <v>18</v>
      </c>
      <c r="N782" t="s">
        <v>31</v>
      </c>
      <c r="O782">
        <v>4.7</v>
      </c>
      <c r="P782" t="s">
        <v>24</v>
      </c>
      <c r="Q782">
        <v>2025</v>
      </c>
    </row>
    <row r="783" spans="1:17" hidden="1" x14ac:dyDescent="0.3">
      <c r="A783" t="s">
        <v>25</v>
      </c>
      <c r="B783" t="s">
        <v>406</v>
      </c>
      <c r="C783">
        <v>1236</v>
      </c>
      <c r="D783">
        <v>4</v>
      </c>
      <c r="E783"/>
      <c r="F783">
        <v>128</v>
      </c>
      <c r="G783">
        <v>64</v>
      </c>
      <c r="H783"/>
      <c r="I783">
        <v>6000</v>
      </c>
      <c r="J783">
        <v>5.6</v>
      </c>
      <c r="K783">
        <v>120</v>
      </c>
      <c r="L783" t="s">
        <v>38</v>
      </c>
      <c r="M783" t="s">
        <v>18</v>
      </c>
      <c r="N783" t="s">
        <v>19</v>
      </c>
      <c r="O783">
        <v>4.7</v>
      </c>
      <c r="P783" t="s">
        <v>24</v>
      </c>
      <c r="Q783">
        <v>2025</v>
      </c>
    </row>
    <row r="784" spans="1:17" hidden="1" x14ac:dyDescent="0.3">
      <c r="A784" t="s">
        <v>15</v>
      </c>
      <c r="B784" t="s">
        <v>740</v>
      </c>
      <c r="C784">
        <v>1085</v>
      </c>
      <c r="D784">
        <v>4</v>
      </c>
      <c r="E784" s="8">
        <f>C784/D784</f>
        <v>271.25</v>
      </c>
      <c r="F784">
        <v>512</v>
      </c>
      <c r="G784">
        <v>48</v>
      </c>
      <c r="H784" s="8">
        <f>C784/G784</f>
        <v>22.604166666666668</v>
      </c>
      <c r="I784">
        <v>4000</v>
      </c>
      <c r="J784">
        <v>6.1</v>
      </c>
      <c r="K784">
        <v>18</v>
      </c>
      <c r="L784" t="s">
        <v>17</v>
      </c>
      <c r="M784" t="s">
        <v>18</v>
      </c>
      <c r="N784" t="s">
        <v>27</v>
      </c>
      <c r="O784">
        <v>4.7</v>
      </c>
      <c r="P784" t="s">
        <v>54</v>
      </c>
      <c r="Q784">
        <v>2025</v>
      </c>
    </row>
    <row r="785" spans="1:17" hidden="1" x14ac:dyDescent="0.3">
      <c r="A785" t="s">
        <v>25</v>
      </c>
      <c r="B785" t="s">
        <v>495</v>
      </c>
      <c r="C785">
        <v>521</v>
      </c>
      <c r="D785">
        <v>4</v>
      </c>
      <c r="E785"/>
      <c r="F785">
        <v>128</v>
      </c>
      <c r="G785">
        <v>200</v>
      </c>
      <c r="H785"/>
      <c r="I785">
        <v>5500</v>
      </c>
      <c r="J785">
        <v>5.5</v>
      </c>
      <c r="K785">
        <v>33</v>
      </c>
      <c r="L785" t="s">
        <v>17</v>
      </c>
      <c r="M785" t="s">
        <v>18</v>
      </c>
      <c r="N785" t="s">
        <v>51</v>
      </c>
      <c r="O785">
        <v>4.7</v>
      </c>
      <c r="P785" t="s">
        <v>28</v>
      </c>
      <c r="Q785">
        <v>2025</v>
      </c>
    </row>
    <row r="786" spans="1:17" hidden="1" x14ac:dyDescent="0.3">
      <c r="A786" t="s">
        <v>36</v>
      </c>
      <c r="B786" t="s">
        <v>549</v>
      </c>
      <c r="C786">
        <v>853</v>
      </c>
      <c r="D786">
        <v>4</v>
      </c>
      <c r="E786"/>
      <c r="F786">
        <v>512</v>
      </c>
      <c r="G786">
        <v>48</v>
      </c>
      <c r="H786"/>
      <c r="I786">
        <v>4500</v>
      </c>
      <c r="J786">
        <v>6.3</v>
      </c>
      <c r="K786">
        <v>18</v>
      </c>
      <c r="L786" t="s">
        <v>38</v>
      </c>
      <c r="M786" t="s">
        <v>18</v>
      </c>
      <c r="N786" t="s">
        <v>48</v>
      </c>
      <c r="O786">
        <v>4.7</v>
      </c>
      <c r="P786" t="s">
        <v>44</v>
      </c>
      <c r="Q786">
        <v>2025</v>
      </c>
    </row>
    <row r="787" spans="1:17" hidden="1" x14ac:dyDescent="0.3">
      <c r="A787" t="s">
        <v>21</v>
      </c>
      <c r="B787" t="s">
        <v>658</v>
      </c>
      <c r="C787">
        <v>1249</v>
      </c>
      <c r="D787">
        <v>4</v>
      </c>
      <c r="E787"/>
      <c r="F787">
        <v>512</v>
      </c>
      <c r="G787">
        <v>108</v>
      </c>
      <c r="H787"/>
      <c r="I787">
        <v>6000</v>
      </c>
      <c r="J787">
        <v>5.6</v>
      </c>
      <c r="K787">
        <v>65</v>
      </c>
      <c r="L787" t="s">
        <v>17</v>
      </c>
      <c r="M787" t="s">
        <v>18</v>
      </c>
      <c r="N787" t="s">
        <v>61</v>
      </c>
      <c r="O787">
        <v>4.7</v>
      </c>
      <c r="P787" t="s">
        <v>71</v>
      </c>
      <c r="Q787">
        <v>2025</v>
      </c>
    </row>
    <row r="788" spans="1:17" hidden="1" x14ac:dyDescent="0.3">
      <c r="A788" t="s">
        <v>15</v>
      </c>
      <c r="B788" t="s">
        <v>668</v>
      </c>
      <c r="C788">
        <v>892</v>
      </c>
      <c r="D788">
        <v>4</v>
      </c>
      <c r="E788"/>
      <c r="F788">
        <v>1024</v>
      </c>
      <c r="G788">
        <v>12</v>
      </c>
      <c r="H788"/>
      <c r="I788">
        <v>4500</v>
      </c>
      <c r="J788">
        <v>6.7</v>
      </c>
      <c r="K788">
        <v>100</v>
      </c>
      <c r="L788" t="s">
        <v>17</v>
      </c>
      <c r="M788" t="s">
        <v>18</v>
      </c>
      <c r="N788" t="s">
        <v>31</v>
      </c>
      <c r="O788">
        <v>4.7</v>
      </c>
      <c r="P788" t="s">
        <v>44</v>
      </c>
      <c r="Q788">
        <v>2025</v>
      </c>
    </row>
    <row r="789" spans="1:17" hidden="1" x14ac:dyDescent="0.3">
      <c r="A789" t="s">
        <v>40</v>
      </c>
      <c r="B789" t="s">
        <v>682</v>
      </c>
      <c r="C789">
        <v>533</v>
      </c>
      <c r="D789">
        <v>4</v>
      </c>
      <c r="E789"/>
      <c r="F789">
        <v>512</v>
      </c>
      <c r="G789">
        <v>200</v>
      </c>
      <c r="H789"/>
      <c r="I789">
        <v>5000</v>
      </c>
      <c r="J789">
        <v>6.5</v>
      </c>
      <c r="K789">
        <v>120</v>
      </c>
      <c r="L789" t="s">
        <v>17</v>
      </c>
      <c r="M789" t="s">
        <v>18</v>
      </c>
      <c r="N789" t="s">
        <v>31</v>
      </c>
      <c r="O789">
        <v>4.7</v>
      </c>
      <c r="P789" t="s">
        <v>39</v>
      </c>
      <c r="Q789">
        <v>2025</v>
      </c>
    </row>
    <row r="790" spans="1:17" hidden="1" x14ac:dyDescent="0.3">
      <c r="A790" t="s">
        <v>32</v>
      </c>
      <c r="B790" t="s">
        <v>418</v>
      </c>
      <c r="C790">
        <v>703</v>
      </c>
      <c r="D790">
        <v>4</v>
      </c>
      <c r="E790" s="8">
        <f>C790/D790</f>
        <v>175.75</v>
      </c>
      <c r="F790">
        <v>64</v>
      </c>
      <c r="G790">
        <v>200</v>
      </c>
      <c r="H790" s="8">
        <f>C790/G790</f>
        <v>3.5150000000000001</v>
      </c>
      <c r="I790">
        <v>5500</v>
      </c>
      <c r="J790">
        <v>5.6</v>
      </c>
      <c r="K790">
        <v>33</v>
      </c>
      <c r="L790" t="s">
        <v>17</v>
      </c>
      <c r="M790" t="s">
        <v>34</v>
      </c>
      <c r="N790" t="s">
        <v>27</v>
      </c>
      <c r="O790">
        <v>4.7</v>
      </c>
      <c r="P790" t="s">
        <v>42</v>
      </c>
      <c r="Q790">
        <v>2025</v>
      </c>
    </row>
    <row r="791" spans="1:17" hidden="1" x14ac:dyDescent="0.3">
      <c r="A791" t="s">
        <v>36</v>
      </c>
      <c r="B791" t="s">
        <v>774</v>
      </c>
      <c r="C791">
        <v>644</v>
      </c>
      <c r="D791">
        <v>4</v>
      </c>
      <c r="E791"/>
      <c r="F791">
        <v>512</v>
      </c>
      <c r="G791">
        <v>48</v>
      </c>
      <c r="H791"/>
      <c r="I791">
        <v>6000</v>
      </c>
      <c r="J791">
        <v>6.2</v>
      </c>
      <c r="K791">
        <v>33</v>
      </c>
      <c r="L791" t="s">
        <v>38</v>
      </c>
      <c r="M791" t="s">
        <v>18</v>
      </c>
      <c r="N791" t="s">
        <v>61</v>
      </c>
      <c r="O791">
        <v>4.7</v>
      </c>
      <c r="P791" t="s">
        <v>71</v>
      </c>
      <c r="Q791">
        <v>2025</v>
      </c>
    </row>
    <row r="792" spans="1:17" hidden="1" x14ac:dyDescent="0.3">
      <c r="A792" t="s">
        <v>49</v>
      </c>
      <c r="B792" t="s">
        <v>783</v>
      </c>
      <c r="C792">
        <v>774</v>
      </c>
      <c r="D792">
        <v>4</v>
      </c>
      <c r="E792"/>
      <c r="F792">
        <v>128</v>
      </c>
      <c r="G792">
        <v>200</v>
      </c>
      <c r="H792"/>
      <c r="I792">
        <v>6000</v>
      </c>
      <c r="J792">
        <v>6.4</v>
      </c>
      <c r="K792">
        <v>33</v>
      </c>
      <c r="L792" t="s">
        <v>38</v>
      </c>
      <c r="M792" t="s">
        <v>18</v>
      </c>
      <c r="N792" t="s">
        <v>23</v>
      </c>
      <c r="O792">
        <v>4.7</v>
      </c>
      <c r="P792" t="s">
        <v>20</v>
      </c>
      <c r="Q792">
        <v>2025</v>
      </c>
    </row>
    <row r="793" spans="1:17" hidden="1" x14ac:dyDescent="0.3">
      <c r="A793" t="s">
        <v>29</v>
      </c>
      <c r="B793" t="s">
        <v>934</v>
      </c>
      <c r="C793">
        <v>1267</v>
      </c>
      <c r="D793">
        <v>4</v>
      </c>
      <c r="E793"/>
      <c r="F793">
        <v>512</v>
      </c>
      <c r="G793">
        <v>108</v>
      </c>
      <c r="H793"/>
      <c r="I793">
        <v>5000</v>
      </c>
      <c r="J793">
        <v>6.7</v>
      </c>
      <c r="K793">
        <v>18</v>
      </c>
      <c r="L793" t="s">
        <v>38</v>
      </c>
      <c r="M793" t="s">
        <v>18</v>
      </c>
      <c r="N793" t="s">
        <v>35</v>
      </c>
      <c r="O793">
        <v>4.7</v>
      </c>
      <c r="P793" t="s">
        <v>82</v>
      </c>
      <c r="Q793">
        <v>2025</v>
      </c>
    </row>
    <row r="794" spans="1:17" hidden="1" x14ac:dyDescent="0.3">
      <c r="A794" t="s">
        <v>40</v>
      </c>
      <c r="B794" t="s">
        <v>964</v>
      </c>
      <c r="C794">
        <v>1111</v>
      </c>
      <c r="D794">
        <v>4</v>
      </c>
      <c r="E794"/>
      <c r="F794">
        <v>128</v>
      </c>
      <c r="G794">
        <v>64</v>
      </c>
      <c r="H794"/>
      <c r="I794">
        <v>4500</v>
      </c>
      <c r="J794">
        <v>6.3</v>
      </c>
      <c r="K794">
        <v>33</v>
      </c>
      <c r="L794" t="s">
        <v>38</v>
      </c>
      <c r="M794" t="s">
        <v>18</v>
      </c>
      <c r="N794" t="s">
        <v>19</v>
      </c>
      <c r="O794">
        <v>4.7</v>
      </c>
      <c r="P794" t="s">
        <v>39</v>
      </c>
      <c r="Q794">
        <v>2025</v>
      </c>
    </row>
    <row r="795" spans="1:17" hidden="1" x14ac:dyDescent="0.3">
      <c r="A795" t="s">
        <v>49</v>
      </c>
      <c r="B795" t="s">
        <v>60</v>
      </c>
      <c r="C795">
        <v>1339</v>
      </c>
      <c r="D795">
        <v>6</v>
      </c>
      <c r="E795"/>
      <c r="F795">
        <v>512</v>
      </c>
      <c r="G795">
        <v>200</v>
      </c>
      <c r="H795"/>
      <c r="I795">
        <v>4500</v>
      </c>
      <c r="J795">
        <v>6.2</v>
      </c>
      <c r="K795">
        <v>120</v>
      </c>
      <c r="L795" t="s">
        <v>17</v>
      </c>
      <c r="M795" t="s">
        <v>18</v>
      </c>
      <c r="N795" t="s">
        <v>61</v>
      </c>
      <c r="O795">
        <v>4.7</v>
      </c>
      <c r="P795" t="s">
        <v>39</v>
      </c>
      <c r="Q795">
        <v>2025</v>
      </c>
    </row>
    <row r="796" spans="1:17" hidden="1" x14ac:dyDescent="0.3">
      <c r="A796" t="s">
        <v>49</v>
      </c>
      <c r="B796" t="s">
        <v>284</v>
      </c>
      <c r="C796">
        <v>662</v>
      </c>
      <c r="D796">
        <v>6</v>
      </c>
      <c r="E796"/>
      <c r="F796">
        <v>512</v>
      </c>
      <c r="G796">
        <v>108</v>
      </c>
      <c r="H796"/>
      <c r="I796">
        <v>6000</v>
      </c>
      <c r="J796">
        <v>5.8</v>
      </c>
      <c r="K796">
        <v>18</v>
      </c>
      <c r="L796" t="s">
        <v>38</v>
      </c>
      <c r="M796" t="s">
        <v>18</v>
      </c>
      <c r="N796" t="s">
        <v>31</v>
      </c>
      <c r="O796">
        <v>4.7</v>
      </c>
      <c r="P796" t="s">
        <v>28</v>
      </c>
      <c r="Q796">
        <v>2025</v>
      </c>
    </row>
    <row r="797" spans="1:17" hidden="1" x14ac:dyDescent="0.3">
      <c r="A797" t="s">
        <v>15</v>
      </c>
      <c r="B797" t="s">
        <v>308</v>
      </c>
      <c r="C797">
        <v>1478</v>
      </c>
      <c r="D797">
        <v>6</v>
      </c>
      <c r="E797"/>
      <c r="F797">
        <v>1024</v>
      </c>
      <c r="G797">
        <v>12</v>
      </c>
      <c r="H797"/>
      <c r="I797">
        <v>5500</v>
      </c>
      <c r="J797">
        <v>6</v>
      </c>
      <c r="K797">
        <v>120</v>
      </c>
      <c r="L797" t="s">
        <v>17</v>
      </c>
      <c r="M797" t="s">
        <v>18</v>
      </c>
      <c r="N797" t="s">
        <v>31</v>
      </c>
      <c r="O797">
        <v>4.7</v>
      </c>
      <c r="P797" t="s">
        <v>20</v>
      </c>
      <c r="Q797">
        <v>2025</v>
      </c>
    </row>
    <row r="798" spans="1:17" hidden="1" x14ac:dyDescent="0.3">
      <c r="A798" t="s">
        <v>66</v>
      </c>
      <c r="B798" t="s">
        <v>390</v>
      </c>
      <c r="C798">
        <v>1256</v>
      </c>
      <c r="D798">
        <v>6</v>
      </c>
      <c r="E798"/>
      <c r="F798">
        <v>512</v>
      </c>
      <c r="G798">
        <v>50</v>
      </c>
      <c r="H798"/>
      <c r="I798">
        <v>5000</v>
      </c>
      <c r="J798">
        <v>7.1</v>
      </c>
      <c r="K798">
        <v>33</v>
      </c>
      <c r="L798" t="s">
        <v>17</v>
      </c>
      <c r="M798" t="s">
        <v>18</v>
      </c>
      <c r="N798" t="s">
        <v>61</v>
      </c>
      <c r="O798">
        <v>4.7</v>
      </c>
      <c r="P798" t="s">
        <v>56</v>
      </c>
      <c r="Q798">
        <v>2025</v>
      </c>
    </row>
    <row r="799" spans="1:17" hidden="1" x14ac:dyDescent="0.3">
      <c r="A799" t="s">
        <v>32</v>
      </c>
      <c r="B799" t="s">
        <v>419</v>
      </c>
      <c r="C799">
        <v>1273</v>
      </c>
      <c r="D799">
        <v>6</v>
      </c>
      <c r="E799"/>
      <c r="F799">
        <v>512</v>
      </c>
      <c r="G799">
        <v>12</v>
      </c>
      <c r="H799"/>
      <c r="I799">
        <v>4000</v>
      </c>
      <c r="J799">
        <v>5.7</v>
      </c>
      <c r="K799">
        <v>65</v>
      </c>
      <c r="L799" t="s">
        <v>38</v>
      </c>
      <c r="M799" t="s">
        <v>34</v>
      </c>
      <c r="N799" t="s">
        <v>35</v>
      </c>
      <c r="O799">
        <v>4.7</v>
      </c>
      <c r="P799" t="s">
        <v>64</v>
      </c>
      <c r="Q799">
        <v>2025</v>
      </c>
    </row>
    <row r="800" spans="1:17" hidden="1" x14ac:dyDescent="0.3">
      <c r="A800" t="s">
        <v>21</v>
      </c>
      <c r="B800" t="s">
        <v>431</v>
      </c>
      <c r="C800">
        <v>882</v>
      </c>
      <c r="D800">
        <v>6</v>
      </c>
      <c r="E800"/>
      <c r="F800">
        <v>1024</v>
      </c>
      <c r="G800">
        <v>48</v>
      </c>
      <c r="H800"/>
      <c r="I800">
        <v>5500</v>
      </c>
      <c r="J800">
        <v>6</v>
      </c>
      <c r="K800">
        <v>65</v>
      </c>
      <c r="L800" t="s">
        <v>38</v>
      </c>
      <c r="M800" t="s">
        <v>18</v>
      </c>
      <c r="N800" t="s">
        <v>35</v>
      </c>
      <c r="O800">
        <v>4.7</v>
      </c>
      <c r="P800" t="s">
        <v>82</v>
      </c>
      <c r="Q800">
        <v>2025</v>
      </c>
    </row>
    <row r="801" spans="1:17" hidden="1" x14ac:dyDescent="0.3">
      <c r="A801" t="s">
        <v>49</v>
      </c>
      <c r="B801" t="s">
        <v>455</v>
      </c>
      <c r="C801">
        <v>987</v>
      </c>
      <c r="D801">
        <v>6</v>
      </c>
      <c r="E801"/>
      <c r="F801">
        <v>64</v>
      </c>
      <c r="G801">
        <v>108</v>
      </c>
      <c r="H801"/>
      <c r="I801">
        <v>4000</v>
      </c>
      <c r="J801">
        <v>6.3</v>
      </c>
      <c r="K801">
        <v>18</v>
      </c>
      <c r="L801" t="s">
        <v>17</v>
      </c>
      <c r="M801" t="s">
        <v>18</v>
      </c>
      <c r="N801" t="s">
        <v>31</v>
      </c>
      <c r="O801">
        <v>4.7</v>
      </c>
      <c r="P801" t="s">
        <v>71</v>
      </c>
      <c r="Q801">
        <v>2025</v>
      </c>
    </row>
    <row r="802" spans="1:17" hidden="1" x14ac:dyDescent="0.3">
      <c r="A802" t="s">
        <v>29</v>
      </c>
      <c r="B802" t="s">
        <v>461</v>
      </c>
      <c r="C802">
        <v>546</v>
      </c>
      <c r="D802">
        <v>6</v>
      </c>
      <c r="E802"/>
      <c r="F802">
        <v>64</v>
      </c>
      <c r="G802">
        <v>50</v>
      </c>
      <c r="H802"/>
      <c r="I802">
        <v>4000</v>
      </c>
      <c r="J802">
        <v>6.6</v>
      </c>
      <c r="K802">
        <v>120</v>
      </c>
      <c r="L802" t="s">
        <v>38</v>
      </c>
      <c r="M802" t="s">
        <v>18</v>
      </c>
      <c r="N802" t="s">
        <v>51</v>
      </c>
      <c r="O802">
        <v>4.7</v>
      </c>
      <c r="P802" t="s">
        <v>39</v>
      </c>
      <c r="Q802">
        <v>2025</v>
      </c>
    </row>
    <row r="803" spans="1:17" hidden="1" x14ac:dyDescent="0.3">
      <c r="A803" t="s">
        <v>32</v>
      </c>
      <c r="B803" t="s">
        <v>516</v>
      </c>
      <c r="C803">
        <v>126</v>
      </c>
      <c r="D803">
        <v>6</v>
      </c>
      <c r="E803"/>
      <c r="F803">
        <v>1024</v>
      </c>
      <c r="G803">
        <v>64</v>
      </c>
      <c r="H803"/>
      <c r="I803">
        <v>6000</v>
      </c>
      <c r="J803">
        <v>5.5</v>
      </c>
      <c r="K803">
        <v>100</v>
      </c>
      <c r="L803" t="s">
        <v>38</v>
      </c>
      <c r="M803" t="s">
        <v>34</v>
      </c>
      <c r="N803" t="s">
        <v>31</v>
      </c>
      <c r="O803">
        <v>4.7</v>
      </c>
      <c r="P803" t="s">
        <v>42</v>
      </c>
      <c r="Q803">
        <v>2025</v>
      </c>
    </row>
    <row r="804" spans="1:17" hidden="1" x14ac:dyDescent="0.3">
      <c r="A804" t="s">
        <v>21</v>
      </c>
      <c r="B804" t="s">
        <v>593</v>
      </c>
      <c r="C804">
        <v>1317</v>
      </c>
      <c r="D804">
        <v>6</v>
      </c>
      <c r="E804"/>
      <c r="F804">
        <v>512</v>
      </c>
      <c r="G804">
        <v>50</v>
      </c>
      <c r="H804"/>
      <c r="I804">
        <v>5500</v>
      </c>
      <c r="J804">
        <v>6.2</v>
      </c>
      <c r="K804">
        <v>65</v>
      </c>
      <c r="L804" t="s">
        <v>17</v>
      </c>
      <c r="M804" t="s">
        <v>18</v>
      </c>
      <c r="N804" t="s">
        <v>19</v>
      </c>
      <c r="O804">
        <v>4.7</v>
      </c>
      <c r="P804" t="s">
        <v>24</v>
      </c>
      <c r="Q804">
        <v>2025</v>
      </c>
    </row>
    <row r="805" spans="1:17" hidden="1" x14ac:dyDescent="0.3">
      <c r="A805" t="s">
        <v>40</v>
      </c>
      <c r="B805" t="s">
        <v>160</v>
      </c>
      <c r="C805">
        <v>1470</v>
      </c>
      <c r="D805">
        <v>16</v>
      </c>
      <c r="E805" s="8">
        <f>C805/D805</f>
        <v>91.875</v>
      </c>
      <c r="F805">
        <v>64</v>
      </c>
      <c r="G805">
        <v>108</v>
      </c>
      <c r="H805" s="8">
        <f>C805/G805</f>
        <v>13.611111111111111</v>
      </c>
      <c r="I805">
        <v>4000</v>
      </c>
      <c r="J805">
        <v>6.1</v>
      </c>
      <c r="K805">
        <v>33</v>
      </c>
      <c r="L805" t="s">
        <v>17</v>
      </c>
      <c r="M805" t="s">
        <v>18</v>
      </c>
      <c r="N805" t="s">
        <v>51</v>
      </c>
      <c r="O805">
        <v>4.7</v>
      </c>
      <c r="P805" t="s">
        <v>64</v>
      </c>
      <c r="Q805">
        <v>2025</v>
      </c>
    </row>
    <row r="806" spans="1:17" hidden="1" x14ac:dyDescent="0.3">
      <c r="A806" t="s">
        <v>15</v>
      </c>
      <c r="B806" t="s">
        <v>779</v>
      </c>
      <c r="C806">
        <v>1498</v>
      </c>
      <c r="D806">
        <v>6</v>
      </c>
      <c r="E806"/>
      <c r="F806">
        <v>512</v>
      </c>
      <c r="G806">
        <v>12</v>
      </c>
      <c r="H806"/>
      <c r="I806">
        <v>5000</v>
      </c>
      <c r="J806">
        <v>6.6</v>
      </c>
      <c r="K806">
        <v>65</v>
      </c>
      <c r="L806" t="s">
        <v>17</v>
      </c>
      <c r="M806" t="s">
        <v>18</v>
      </c>
      <c r="N806" t="s">
        <v>27</v>
      </c>
      <c r="O806">
        <v>4.7</v>
      </c>
      <c r="P806" t="s">
        <v>82</v>
      </c>
      <c r="Q806">
        <v>2025</v>
      </c>
    </row>
    <row r="807" spans="1:17" hidden="1" x14ac:dyDescent="0.3">
      <c r="A807" t="s">
        <v>32</v>
      </c>
      <c r="B807" t="s">
        <v>848</v>
      </c>
      <c r="C807">
        <v>579</v>
      </c>
      <c r="D807">
        <v>6</v>
      </c>
      <c r="E807"/>
      <c r="F807">
        <v>512</v>
      </c>
      <c r="G807">
        <v>108</v>
      </c>
      <c r="H807"/>
      <c r="I807">
        <v>4000</v>
      </c>
      <c r="J807">
        <v>6.1</v>
      </c>
      <c r="K807">
        <v>120</v>
      </c>
      <c r="L807" t="s">
        <v>17</v>
      </c>
      <c r="M807" t="s">
        <v>34</v>
      </c>
      <c r="N807" t="s">
        <v>27</v>
      </c>
      <c r="O807">
        <v>4.7</v>
      </c>
      <c r="P807" t="s">
        <v>46</v>
      </c>
      <c r="Q807">
        <v>2025</v>
      </c>
    </row>
    <row r="808" spans="1:17" hidden="1" x14ac:dyDescent="0.3">
      <c r="A808" t="s">
        <v>21</v>
      </c>
      <c r="B808" t="s">
        <v>1029</v>
      </c>
      <c r="C808">
        <v>532</v>
      </c>
      <c r="D808">
        <v>6</v>
      </c>
      <c r="E808"/>
      <c r="F808">
        <v>128</v>
      </c>
      <c r="G808">
        <v>12</v>
      </c>
      <c r="H808"/>
      <c r="I808">
        <v>4000</v>
      </c>
      <c r="J808">
        <v>6.3</v>
      </c>
      <c r="K808">
        <v>120</v>
      </c>
      <c r="L808" t="s">
        <v>17</v>
      </c>
      <c r="M808" t="s">
        <v>18</v>
      </c>
      <c r="N808" t="s">
        <v>27</v>
      </c>
      <c r="O808">
        <v>4.7</v>
      </c>
      <c r="P808" t="s">
        <v>42</v>
      </c>
      <c r="Q808">
        <v>2025</v>
      </c>
    </row>
    <row r="809" spans="1:17" hidden="1" x14ac:dyDescent="0.3">
      <c r="A809" t="s">
        <v>25</v>
      </c>
      <c r="B809" t="s">
        <v>57</v>
      </c>
      <c r="C809">
        <v>1126</v>
      </c>
      <c r="D809">
        <v>8</v>
      </c>
      <c r="E809"/>
      <c r="F809">
        <v>64</v>
      </c>
      <c r="G809">
        <v>48</v>
      </c>
      <c r="H809"/>
      <c r="I809">
        <v>4000</v>
      </c>
      <c r="J809">
        <v>7.2</v>
      </c>
      <c r="K809">
        <v>33</v>
      </c>
      <c r="L809" t="s">
        <v>17</v>
      </c>
      <c r="M809" t="s">
        <v>18</v>
      </c>
      <c r="N809" t="s">
        <v>31</v>
      </c>
      <c r="O809">
        <v>4.7</v>
      </c>
      <c r="P809" t="s">
        <v>46</v>
      </c>
      <c r="Q809">
        <v>2025</v>
      </c>
    </row>
    <row r="810" spans="1:17" hidden="1" x14ac:dyDescent="0.3">
      <c r="A810" t="s">
        <v>32</v>
      </c>
      <c r="B810" t="s">
        <v>202</v>
      </c>
      <c r="C810">
        <v>1188</v>
      </c>
      <c r="D810">
        <v>8</v>
      </c>
      <c r="E810"/>
      <c r="F810">
        <v>512</v>
      </c>
      <c r="G810">
        <v>48</v>
      </c>
      <c r="H810"/>
      <c r="I810">
        <v>4000</v>
      </c>
      <c r="J810">
        <v>6.7</v>
      </c>
      <c r="K810">
        <v>18</v>
      </c>
      <c r="L810" t="s">
        <v>38</v>
      </c>
      <c r="M810" t="s">
        <v>34</v>
      </c>
      <c r="N810" t="s">
        <v>61</v>
      </c>
      <c r="O810">
        <v>4.7</v>
      </c>
      <c r="P810" t="s">
        <v>46</v>
      </c>
      <c r="Q810">
        <v>2025</v>
      </c>
    </row>
    <row r="811" spans="1:17" hidden="1" x14ac:dyDescent="0.3">
      <c r="A811" t="s">
        <v>66</v>
      </c>
      <c r="B811" t="s">
        <v>280</v>
      </c>
      <c r="C811">
        <v>447</v>
      </c>
      <c r="D811">
        <v>8</v>
      </c>
      <c r="E811"/>
      <c r="F811">
        <v>256</v>
      </c>
      <c r="G811">
        <v>48</v>
      </c>
      <c r="H811"/>
      <c r="I811">
        <v>5500</v>
      </c>
      <c r="J811">
        <v>6.1</v>
      </c>
      <c r="K811">
        <v>100</v>
      </c>
      <c r="L811" t="s">
        <v>38</v>
      </c>
      <c r="M811" t="s">
        <v>18</v>
      </c>
      <c r="N811" t="s">
        <v>31</v>
      </c>
      <c r="O811">
        <v>4.7</v>
      </c>
      <c r="P811" t="s">
        <v>42</v>
      </c>
      <c r="Q811">
        <v>2025</v>
      </c>
    </row>
    <row r="812" spans="1:17" hidden="1" x14ac:dyDescent="0.3">
      <c r="A812" t="s">
        <v>40</v>
      </c>
      <c r="B812" t="s">
        <v>288</v>
      </c>
      <c r="C812">
        <v>743</v>
      </c>
      <c r="D812">
        <v>8</v>
      </c>
      <c r="E812"/>
      <c r="F812">
        <v>128</v>
      </c>
      <c r="G812">
        <v>50</v>
      </c>
      <c r="H812"/>
      <c r="I812">
        <v>4500</v>
      </c>
      <c r="J812">
        <v>6</v>
      </c>
      <c r="K812">
        <v>44</v>
      </c>
      <c r="L812" t="s">
        <v>17</v>
      </c>
      <c r="M812" t="s">
        <v>18</v>
      </c>
      <c r="N812" t="s">
        <v>48</v>
      </c>
      <c r="O812">
        <v>4.7</v>
      </c>
      <c r="P812" t="s">
        <v>44</v>
      </c>
      <c r="Q812">
        <v>2025</v>
      </c>
    </row>
    <row r="813" spans="1:17" x14ac:dyDescent="0.3">
      <c r="A813" t="s">
        <v>66</v>
      </c>
      <c r="B813" t="s">
        <v>133</v>
      </c>
      <c r="C813">
        <v>1480</v>
      </c>
      <c r="D813">
        <v>16</v>
      </c>
      <c r="E813" s="8">
        <f>C813/D813</f>
        <v>92.5</v>
      </c>
      <c r="F813">
        <v>512</v>
      </c>
      <c r="G813">
        <v>108</v>
      </c>
      <c r="H813" s="8">
        <f>C813/G813</f>
        <v>13.703703703703704</v>
      </c>
      <c r="I813">
        <v>6000</v>
      </c>
      <c r="J813">
        <v>6.3</v>
      </c>
      <c r="K813">
        <v>33</v>
      </c>
      <c r="L813" t="s">
        <v>38</v>
      </c>
      <c r="M813" t="s">
        <v>18</v>
      </c>
      <c r="N813" t="s">
        <v>23</v>
      </c>
      <c r="O813">
        <v>4.7</v>
      </c>
      <c r="P813" t="s">
        <v>42</v>
      </c>
      <c r="Q813">
        <v>2025</v>
      </c>
    </row>
    <row r="814" spans="1:17" hidden="1" x14ac:dyDescent="0.3">
      <c r="A814" t="s">
        <v>29</v>
      </c>
      <c r="B814" t="s">
        <v>711</v>
      </c>
      <c r="C814">
        <v>312</v>
      </c>
      <c r="D814">
        <v>8</v>
      </c>
      <c r="E814"/>
      <c r="F814">
        <v>512</v>
      </c>
      <c r="G814">
        <v>64</v>
      </c>
      <c r="H814"/>
      <c r="I814">
        <v>5500</v>
      </c>
      <c r="J814">
        <v>6.7</v>
      </c>
      <c r="K814">
        <v>44</v>
      </c>
      <c r="L814" t="s">
        <v>17</v>
      </c>
      <c r="M814" t="s">
        <v>18</v>
      </c>
      <c r="N814" t="s">
        <v>48</v>
      </c>
      <c r="O814">
        <v>4.7</v>
      </c>
      <c r="P814" t="s">
        <v>64</v>
      </c>
      <c r="Q814">
        <v>2025</v>
      </c>
    </row>
    <row r="815" spans="1:17" hidden="1" x14ac:dyDescent="0.3">
      <c r="A815" t="s">
        <v>32</v>
      </c>
      <c r="B815" t="s">
        <v>759</v>
      </c>
      <c r="C815">
        <v>151</v>
      </c>
      <c r="D815">
        <v>8</v>
      </c>
      <c r="E815"/>
      <c r="F815">
        <v>128</v>
      </c>
      <c r="G815">
        <v>108</v>
      </c>
      <c r="H815"/>
      <c r="I815">
        <v>5500</v>
      </c>
      <c r="J815">
        <v>6.3</v>
      </c>
      <c r="K815">
        <v>44</v>
      </c>
      <c r="L815" t="s">
        <v>17</v>
      </c>
      <c r="M815" t="s">
        <v>34</v>
      </c>
      <c r="N815" t="s">
        <v>35</v>
      </c>
      <c r="O815">
        <v>4.7</v>
      </c>
      <c r="P815" t="s">
        <v>71</v>
      </c>
      <c r="Q815">
        <v>2025</v>
      </c>
    </row>
    <row r="816" spans="1:17" x14ac:dyDescent="0.3">
      <c r="A816" t="s">
        <v>21</v>
      </c>
      <c r="B816" t="s">
        <v>568</v>
      </c>
      <c r="C816">
        <v>1044</v>
      </c>
      <c r="D816">
        <v>16</v>
      </c>
      <c r="E816" s="8">
        <f t="shared" ref="E816:E817" si="80">C816/D816</f>
        <v>65.25</v>
      </c>
      <c r="F816">
        <v>1024</v>
      </c>
      <c r="G816">
        <v>64</v>
      </c>
      <c r="H816" s="8">
        <f t="shared" ref="H816:H817" si="81">C816/G816</f>
        <v>16.3125</v>
      </c>
      <c r="I816">
        <v>6000</v>
      </c>
      <c r="J816">
        <v>6.9</v>
      </c>
      <c r="K816">
        <v>33</v>
      </c>
      <c r="L816" t="s">
        <v>38</v>
      </c>
      <c r="M816" t="s">
        <v>18</v>
      </c>
      <c r="N816" t="s">
        <v>23</v>
      </c>
      <c r="O816">
        <v>4.7</v>
      </c>
      <c r="P816" t="s">
        <v>44</v>
      </c>
      <c r="Q816">
        <v>2025</v>
      </c>
    </row>
    <row r="817" spans="1:17" x14ac:dyDescent="0.3">
      <c r="A817" t="s">
        <v>25</v>
      </c>
      <c r="B817" t="s">
        <v>396</v>
      </c>
      <c r="C817">
        <v>1057</v>
      </c>
      <c r="D817">
        <v>8</v>
      </c>
      <c r="E817" s="8">
        <f t="shared" si="80"/>
        <v>132.125</v>
      </c>
      <c r="F817">
        <v>128</v>
      </c>
      <c r="G817">
        <v>48</v>
      </c>
      <c r="H817" s="8">
        <f t="shared" si="81"/>
        <v>22.020833333333332</v>
      </c>
      <c r="I817">
        <v>4000</v>
      </c>
      <c r="J817">
        <v>6.7</v>
      </c>
      <c r="K817">
        <v>65</v>
      </c>
      <c r="L817" t="s">
        <v>38</v>
      </c>
      <c r="M817" t="s">
        <v>18</v>
      </c>
      <c r="N817" t="s">
        <v>61</v>
      </c>
      <c r="O817">
        <v>4.7</v>
      </c>
      <c r="P817" t="s">
        <v>39</v>
      </c>
      <c r="Q817">
        <v>2025</v>
      </c>
    </row>
    <row r="818" spans="1:17" hidden="1" x14ac:dyDescent="0.3">
      <c r="A818" t="s">
        <v>21</v>
      </c>
      <c r="B818" t="s">
        <v>998</v>
      </c>
      <c r="C818">
        <v>437</v>
      </c>
      <c r="D818">
        <v>8</v>
      </c>
      <c r="E818"/>
      <c r="F818">
        <v>256</v>
      </c>
      <c r="G818">
        <v>50</v>
      </c>
      <c r="H818"/>
      <c r="I818">
        <v>4000</v>
      </c>
      <c r="J818">
        <v>6.9</v>
      </c>
      <c r="K818">
        <v>33</v>
      </c>
      <c r="L818" t="s">
        <v>17</v>
      </c>
      <c r="M818" t="s">
        <v>18</v>
      </c>
      <c r="N818" t="s">
        <v>27</v>
      </c>
      <c r="O818">
        <v>4.7</v>
      </c>
      <c r="P818" t="s">
        <v>44</v>
      </c>
      <c r="Q818">
        <v>2025</v>
      </c>
    </row>
    <row r="819" spans="1:17" hidden="1" x14ac:dyDescent="0.3">
      <c r="A819" t="s">
        <v>21</v>
      </c>
      <c r="B819" t="s">
        <v>55</v>
      </c>
      <c r="C819">
        <v>1192</v>
      </c>
      <c r="D819">
        <v>12</v>
      </c>
      <c r="E819"/>
      <c r="F819">
        <v>256</v>
      </c>
      <c r="G819">
        <v>12</v>
      </c>
      <c r="H819"/>
      <c r="I819">
        <v>4000</v>
      </c>
      <c r="J819">
        <v>6.2</v>
      </c>
      <c r="K819">
        <v>33</v>
      </c>
      <c r="L819" t="s">
        <v>38</v>
      </c>
      <c r="M819" t="s">
        <v>18</v>
      </c>
      <c r="N819" t="s">
        <v>51</v>
      </c>
      <c r="O819">
        <v>4.7</v>
      </c>
      <c r="P819" t="s">
        <v>56</v>
      </c>
      <c r="Q819">
        <v>2025</v>
      </c>
    </row>
    <row r="820" spans="1:17" hidden="1" x14ac:dyDescent="0.3">
      <c r="A820" t="s">
        <v>49</v>
      </c>
      <c r="B820" t="s">
        <v>260</v>
      </c>
      <c r="C820">
        <v>1137</v>
      </c>
      <c r="D820">
        <v>12</v>
      </c>
      <c r="E820"/>
      <c r="F820">
        <v>128</v>
      </c>
      <c r="G820">
        <v>12</v>
      </c>
      <c r="H820"/>
      <c r="I820">
        <v>4000</v>
      </c>
      <c r="J820">
        <v>6.4</v>
      </c>
      <c r="K820">
        <v>65</v>
      </c>
      <c r="L820" t="s">
        <v>17</v>
      </c>
      <c r="M820" t="s">
        <v>18</v>
      </c>
      <c r="N820" t="s">
        <v>19</v>
      </c>
      <c r="O820">
        <v>4.7</v>
      </c>
      <c r="P820" t="s">
        <v>64</v>
      </c>
      <c r="Q820">
        <v>2025</v>
      </c>
    </row>
    <row r="821" spans="1:17" hidden="1" x14ac:dyDescent="0.3">
      <c r="A821" t="s">
        <v>15</v>
      </c>
      <c r="B821" t="s">
        <v>896</v>
      </c>
      <c r="C821">
        <v>1124</v>
      </c>
      <c r="D821">
        <v>12</v>
      </c>
      <c r="E821"/>
      <c r="F821">
        <v>128</v>
      </c>
      <c r="G821">
        <v>200</v>
      </c>
      <c r="H821"/>
      <c r="I821">
        <v>5000</v>
      </c>
      <c r="J821">
        <v>6.7</v>
      </c>
      <c r="K821">
        <v>100</v>
      </c>
      <c r="L821" t="s">
        <v>17</v>
      </c>
      <c r="M821" t="s">
        <v>18</v>
      </c>
      <c r="N821" t="s">
        <v>19</v>
      </c>
      <c r="O821">
        <v>4.7</v>
      </c>
      <c r="P821" t="s">
        <v>44</v>
      </c>
      <c r="Q821">
        <v>2025</v>
      </c>
    </row>
    <row r="822" spans="1:17" hidden="1" x14ac:dyDescent="0.3">
      <c r="A822" t="s">
        <v>32</v>
      </c>
      <c r="B822" t="s">
        <v>43</v>
      </c>
      <c r="C822">
        <v>1447</v>
      </c>
      <c r="D822">
        <v>16</v>
      </c>
      <c r="E822"/>
      <c r="F822">
        <v>64</v>
      </c>
      <c r="G822">
        <v>64</v>
      </c>
      <c r="H822"/>
      <c r="I822">
        <v>4500</v>
      </c>
      <c r="J822">
        <v>6.7</v>
      </c>
      <c r="K822">
        <v>33</v>
      </c>
      <c r="L822" t="s">
        <v>17</v>
      </c>
      <c r="M822" t="s">
        <v>34</v>
      </c>
      <c r="N822" t="s">
        <v>31</v>
      </c>
      <c r="O822">
        <v>4.7</v>
      </c>
      <c r="P822" t="s">
        <v>44</v>
      </c>
      <c r="Q822">
        <v>2025</v>
      </c>
    </row>
    <row r="823" spans="1:17" hidden="1" x14ac:dyDescent="0.3">
      <c r="A823" t="s">
        <v>49</v>
      </c>
      <c r="B823" t="s">
        <v>830</v>
      </c>
      <c r="C823">
        <v>1209</v>
      </c>
      <c r="D823">
        <v>8</v>
      </c>
      <c r="E823" s="8">
        <f t="shared" ref="E823:E824" si="82">C823/D823</f>
        <v>151.125</v>
      </c>
      <c r="F823">
        <v>512</v>
      </c>
      <c r="G823">
        <v>12</v>
      </c>
      <c r="H823" s="8">
        <f t="shared" ref="H823:H824" si="83">C823/G823</f>
        <v>100.75</v>
      </c>
      <c r="I823">
        <v>4500</v>
      </c>
      <c r="J823">
        <v>6.8</v>
      </c>
      <c r="K823">
        <v>65</v>
      </c>
      <c r="L823" t="s">
        <v>17</v>
      </c>
      <c r="M823" t="s">
        <v>18</v>
      </c>
      <c r="N823" t="s">
        <v>48</v>
      </c>
      <c r="O823">
        <v>4.7</v>
      </c>
      <c r="P823" t="s">
        <v>56</v>
      </c>
      <c r="Q823">
        <v>2025</v>
      </c>
    </row>
    <row r="824" spans="1:17" x14ac:dyDescent="0.3">
      <c r="A824" t="s">
        <v>36</v>
      </c>
      <c r="B824" t="s">
        <v>358</v>
      </c>
      <c r="C824">
        <v>1450</v>
      </c>
      <c r="D824">
        <v>4</v>
      </c>
      <c r="E824" s="8">
        <f t="shared" si="82"/>
        <v>362.5</v>
      </c>
      <c r="F824">
        <v>512</v>
      </c>
      <c r="G824">
        <v>12</v>
      </c>
      <c r="H824" s="8">
        <f t="shared" si="83"/>
        <v>120.83333333333333</v>
      </c>
      <c r="I824">
        <v>4000</v>
      </c>
      <c r="J824">
        <v>6.5</v>
      </c>
      <c r="K824">
        <v>100</v>
      </c>
      <c r="L824" t="s">
        <v>38</v>
      </c>
      <c r="M824" t="s">
        <v>18</v>
      </c>
      <c r="N824" t="s">
        <v>48</v>
      </c>
      <c r="O824">
        <v>4.7</v>
      </c>
      <c r="P824" t="s">
        <v>82</v>
      </c>
      <c r="Q824">
        <v>2025</v>
      </c>
    </row>
    <row r="825" spans="1:17" hidden="1" x14ac:dyDescent="0.3">
      <c r="A825" t="s">
        <v>15</v>
      </c>
      <c r="B825" t="s">
        <v>143</v>
      </c>
      <c r="C825">
        <v>188</v>
      </c>
      <c r="D825">
        <v>16</v>
      </c>
      <c r="E825"/>
      <c r="F825">
        <v>1024</v>
      </c>
      <c r="G825">
        <v>200</v>
      </c>
      <c r="H825"/>
      <c r="I825">
        <v>5000</v>
      </c>
      <c r="J825">
        <v>6.7</v>
      </c>
      <c r="K825">
        <v>100</v>
      </c>
      <c r="L825" t="s">
        <v>17</v>
      </c>
      <c r="M825" t="s">
        <v>18</v>
      </c>
      <c r="N825" t="s">
        <v>19</v>
      </c>
      <c r="O825">
        <v>4.7</v>
      </c>
      <c r="P825" t="s">
        <v>56</v>
      </c>
      <c r="Q825">
        <v>2025</v>
      </c>
    </row>
    <row r="826" spans="1:17" hidden="1" x14ac:dyDescent="0.3">
      <c r="A826" t="s">
        <v>21</v>
      </c>
      <c r="B826" t="s">
        <v>69</v>
      </c>
      <c r="C826">
        <v>1404</v>
      </c>
      <c r="D826">
        <v>16</v>
      </c>
      <c r="E826" s="8">
        <f>C826/D826</f>
        <v>87.75</v>
      </c>
      <c r="F826">
        <v>1024</v>
      </c>
      <c r="G826">
        <v>50</v>
      </c>
      <c r="H826" s="8">
        <f>C826/G826</f>
        <v>28.08</v>
      </c>
      <c r="I826">
        <v>4000</v>
      </c>
      <c r="J826">
        <v>6.6</v>
      </c>
      <c r="K826">
        <v>100</v>
      </c>
      <c r="L826" t="s">
        <v>17</v>
      </c>
      <c r="M826" t="s">
        <v>18</v>
      </c>
      <c r="N826" t="s">
        <v>23</v>
      </c>
      <c r="O826">
        <v>4.7</v>
      </c>
      <c r="P826" t="s">
        <v>42</v>
      </c>
      <c r="Q826">
        <v>2025</v>
      </c>
    </row>
    <row r="827" spans="1:17" hidden="1" x14ac:dyDescent="0.3">
      <c r="A827" t="s">
        <v>25</v>
      </c>
      <c r="B827" t="s">
        <v>316</v>
      </c>
      <c r="C827">
        <v>235</v>
      </c>
      <c r="D827">
        <v>16</v>
      </c>
      <c r="E827"/>
      <c r="F827">
        <v>512</v>
      </c>
      <c r="G827">
        <v>108</v>
      </c>
      <c r="H827"/>
      <c r="I827">
        <v>6000</v>
      </c>
      <c r="J827">
        <v>6.1</v>
      </c>
      <c r="K827">
        <v>44</v>
      </c>
      <c r="L827" t="s">
        <v>38</v>
      </c>
      <c r="M827" t="s">
        <v>18</v>
      </c>
      <c r="N827" t="s">
        <v>19</v>
      </c>
      <c r="O827">
        <v>4.7</v>
      </c>
      <c r="P827" t="s">
        <v>56</v>
      </c>
      <c r="Q827">
        <v>2025</v>
      </c>
    </row>
    <row r="828" spans="1:17" hidden="1" x14ac:dyDescent="0.3">
      <c r="A828" t="s">
        <v>21</v>
      </c>
      <c r="B828" t="s">
        <v>597</v>
      </c>
      <c r="C828">
        <v>1042</v>
      </c>
      <c r="D828">
        <v>6</v>
      </c>
      <c r="E828" s="8">
        <f>C828/D828</f>
        <v>173.66666666666666</v>
      </c>
      <c r="F828">
        <v>256</v>
      </c>
      <c r="G828">
        <v>64</v>
      </c>
      <c r="H828" s="8">
        <f>C828/G828</f>
        <v>16.28125</v>
      </c>
      <c r="I828">
        <v>6000</v>
      </c>
      <c r="J828">
        <v>6.5</v>
      </c>
      <c r="K828">
        <v>120</v>
      </c>
      <c r="L828" t="s">
        <v>17</v>
      </c>
      <c r="M828" t="s">
        <v>18</v>
      </c>
      <c r="N828" t="s">
        <v>48</v>
      </c>
      <c r="O828">
        <v>4.7</v>
      </c>
      <c r="P828" t="s">
        <v>44</v>
      </c>
      <c r="Q828">
        <v>2025</v>
      </c>
    </row>
    <row r="829" spans="1:17" hidden="1" x14ac:dyDescent="0.3">
      <c r="A829" t="s">
        <v>25</v>
      </c>
      <c r="B829" t="s">
        <v>878</v>
      </c>
      <c r="C829">
        <v>648</v>
      </c>
      <c r="D829">
        <v>16</v>
      </c>
      <c r="E829"/>
      <c r="F829">
        <v>1024</v>
      </c>
      <c r="G829">
        <v>108</v>
      </c>
      <c r="H829"/>
      <c r="I829">
        <v>4500</v>
      </c>
      <c r="J829">
        <v>6.4</v>
      </c>
      <c r="K829">
        <v>33</v>
      </c>
      <c r="L829" t="s">
        <v>17</v>
      </c>
      <c r="M829" t="s">
        <v>18</v>
      </c>
      <c r="N829" t="s">
        <v>31</v>
      </c>
      <c r="O829">
        <v>4.7</v>
      </c>
      <c r="P829" t="s">
        <v>20</v>
      </c>
      <c r="Q829">
        <v>2025</v>
      </c>
    </row>
    <row r="830" spans="1:17" hidden="1" x14ac:dyDescent="0.3">
      <c r="A830" t="s">
        <v>29</v>
      </c>
      <c r="B830" t="s">
        <v>1005</v>
      </c>
      <c r="C830">
        <v>1455</v>
      </c>
      <c r="D830">
        <v>16</v>
      </c>
      <c r="E830"/>
      <c r="F830">
        <v>512</v>
      </c>
      <c r="G830">
        <v>108</v>
      </c>
      <c r="H830"/>
      <c r="I830">
        <v>5000</v>
      </c>
      <c r="J830">
        <v>5.9</v>
      </c>
      <c r="K830">
        <v>100</v>
      </c>
      <c r="L830" t="s">
        <v>38</v>
      </c>
      <c r="M830" t="s">
        <v>18</v>
      </c>
      <c r="N830" t="s">
        <v>35</v>
      </c>
      <c r="O830">
        <v>4.7</v>
      </c>
      <c r="P830" t="s">
        <v>46</v>
      </c>
      <c r="Q830">
        <v>2025</v>
      </c>
    </row>
    <row r="831" spans="1:17" hidden="1" x14ac:dyDescent="0.3">
      <c r="A831" t="s">
        <v>49</v>
      </c>
      <c r="B831" t="s">
        <v>407</v>
      </c>
      <c r="C831">
        <v>1049</v>
      </c>
      <c r="D831">
        <v>4</v>
      </c>
      <c r="E831" s="8">
        <f>C831/D831</f>
        <v>262.25</v>
      </c>
      <c r="F831">
        <v>1024</v>
      </c>
      <c r="G831">
        <v>48</v>
      </c>
      <c r="H831" s="8">
        <f>C831/G831</f>
        <v>21.854166666666668</v>
      </c>
      <c r="I831">
        <v>5500</v>
      </c>
      <c r="J831">
        <v>6.1</v>
      </c>
      <c r="K831">
        <v>18</v>
      </c>
      <c r="L831" t="s">
        <v>17</v>
      </c>
      <c r="M831" t="s">
        <v>18</v>
      </c>
      <c r="N831" t="s">
        <v>51</v>
      </c>
      <c r="O831">
        <v>4.8</v>
      </c>
      <c r="P831" t="s">
        <v>28</v>
      </c>
      <c r="Q831">
        <v>2025</v>
      </c>
    </row>
    <row r="832" spans="1:17" hidden="1" x14ac:dyDescent="0.3">
      <c r="A832" t="s">
        <v>66</v>
      </c>
      <c r="B832" t="s">
        <v>96</v>
      </c>
      <c r="C832">
        <v>187</v>
      </c>
      <c r="D832">
        <v>4</v>
      </c>
      <c r="E832"/>
      <c r="F832">
        <v>1024</v>
      </c>
      <c r="G832">
        <v>200</v>
      </c>
      <c r="H832"/>
      <c r="I832">
        <v>4000</v>
      </c>
      <c r="J832">
        <v>6.6</v>
      </c>
      <c r="K832">
        <v>100</v>
      </c>
      <c r="L832" t="s">
        <v>17</v>
      </c>
      <c r="M832" t="s">
        <v>18</v>
      </c>
      <c r="N832" t="s">
        <v>19</v>
      </c>
      <c r="O832">
        <v>4.8</v>
      </c>
      <c r="P832" t="s">
        <v>46</v>
      </c>
      <c r="Q832">
        <v>2025</v>
      </c>
    </row>
    <row r="833" spans="1:17" hidden="1" x14ac:dyDescent="0.3">
      <c r="A833" t="s">
        <v>32</v>
      </c>
      <c r="B833" t="s">
        <v>144</v>
      </c>
      <c r="C833">
        <v>168</v>
      </c>
      <c r="D833">
        <v>4</v>
      </c>
      <c r="E833"/>
      <c r="F833">
        <v>256</v>
      </c>
      <c r="G833">
        <v>48</v>
      </c>
      <c r="H833"/>
      <c r="I833">
        <v>4000</v>
      </c>
      <c r="J833">
        <v>6.1</v>
      </c>
      <c r="K833">
        <v>65</v>
      </c>
      <c r="L833" t="s">
        <v>17</v>
      </c>
      <c r="M833" t="s">
        <v>34</v>
      </c>
      <c r="N833" t="s">
        <v>61</v>
      </c>
      <c r="O833">
        <v>4.8</v>
      </c>
      <c r="P833" t="s">
        <v>46</v>
      </c>
      <c r="Q833">
        <v>2025</v>
      </c>
    </row>
    <row r="834" spans="1:17" hidden="1" x14ac:dyDescent="0.3">
      <c r="A834" t="s">
        <v>66</v>
      </c>
      <c r="B834" t="s">
        <v>829</v>
      </c>
      <c r="C834">
        <v>1350</v>
      </c>
      <c r="D834">
        <v>8</v>
      </c>
      <c r="E834" s="8">
        <f>C834/D834</f>
        <v>168.75</v>
      </c>
      <c r="F834">
        <v>1024</v>
      </c>
      <c r="G834">
        <v>108</v>
      </c>
      <c r="H834" s="8">
        <f>C834/G834</f>
        <v>12.5</v>
      </c>
      <c r="I834">
        <v>5500</v>
      </c>
      <c r="J834">
        <v>6.3</v>
      </c>
      <c r="K834">
        <v>18</v>
      </c>
      <c r="L834" t="s">
        <v>17</v>
      </c>
      <c r="M834" t="s">
        <v>18</v>
      </c>
      <c r="N834" t="s">
        <v>31</v>
      </c>
      <c r="O834">
        <v>4.8</v>
      </c>
      <c r="P834" t="s">
        <v>71</v>
      </c>
      <c r="Q834">
        <v>2025</v>
      </c>
    </row>
    <row r="835" spans="1:17" hidden="1" x14ac:dyDescent="0.3">
      <c r="A835" t="s">
        <v>15</v>
      </c>
      <c r="B835" t="s">
        <v>265</v>
      </c>
      <c r="C835">
        <v>238</v>
      </c>
      <c r="D835">
        <v>4</v>
      </c>
      <c r="E835"/>
      <c r="F835">
        <v>1024</v>
      </c>
      <c r="G835">
        <v>108</v>
      </c>
      <c r="H835"/>
      <c r="I835">
        <v>5500</v>
      </c>
      <c r="J835">
        <v>5.7</v>
      </c>
      <c r="K835">
        <v>65</v>
      </c>
      <c r="L835" t="s">
        <v>38</v>
      </c>
      <c r="M835" t="s">
        <v>18</v>
      </c>
      <c r="N835" t="s">
        <v>51</v>
      </c>
      <c r="O835">
        <v>4.8</v>
      </c>
      <c r="P835" t="s">
        <v>64</v>
      </c>
      <c r="Q835">
        <v>2025</v>
      </c>
    </row>
    <row r="836" spans="1:17" hidden="1" x14ac:dyDescent="0.3">
      <c r="A836" t="s">
        <v>49</v>
      </c>
      <c r="B836" t="s">
        <v>331</v>
      </c>
      <c r="C836">
        <v>335</v>
      </c>
      <c r="D836">
        <v>4</v>
      </c>
      <c r="E836"/>
      <c r="F836">
        <v>64</v>
      </c>
      <c r="G836">
        <v>108</v>
      </c>
      <c r="H836"/>
      <c r="I836">
        <v>5500</v>
      </c>
      <c r="J836">
        <v>5.8</v>
      </c>
      <c r="K836">
        <v>44</v>
      </c>
      <c r="L836" t="s">
        <v>17</v>
      </c>
      <c r="M836" t="s">
        <v>18</v>
      </c>
      <c r="N836" t="s">
        <v>23</v>
      </c>
      <c r="O836">
        <v>4.8</v>
      </c>
      <c r="P836" t="s">
        <v>42</v>
      </c>
      <c r="Q836">
        <v>2025</v>
      </c>
    </row>
    <row r="837" spans="1:17" hidden="1" x14ac:dyDescent="0.3">
      <c r="A837" t="s">
        <v>66</v>
      </c>
      <c r="B837" t="s">
        <v>717</v>
      </c>
      <c r="C837">
        <v>707</v>
      </c>
      <c r="D837">
        <v>12</v>
      </c>
      <c r="E837" s="8">
        <f>C837/D837</f>
        <v>58.916666666666664</v>
      </c>
      <c r="F837">
        <v>64</v>
      </c>
      <c r="G837">
        <v>200</v>
      </c>
      <c r="H837" s="8">
        <f>C837/G837</f>
        <v>3.5350000000000001</v>
      </c>
      <c r="I837">
        <v>5000</v>
      </c>
      <c r="J837">
        <v>6.9</v>
      </c>
      <c r="K837">
        <v>18</v>
      </c>
      <c r="L837" t="s">
        <v>17</v>
      </c>
      <c r="M837" t="s">
        <v>18</v>
      </c>
      <c r="N837" t="s">
        <v>51</v>
      </c>
      <c r="O837">
        <v>4.8</v>
      </c>
      <c r="P837" t="s">
        <v>39</v>
      </c>
      <c r="Q837">
        <v>2025</v>
      </c>
    </row>
    <row r="838" spans="1:17" hidden="1" x14ac:dyDescent="0.3">
      <c r="A838" t="s">
        <v>25</v>
      </c>
      <c r="B838" t="s">
        <v>469</v>
      </c>
      <c r="C838">
        <v>1451</v>
      </c>
      <c r="D838">
        <v>4</v>
      </c>
      <c r="E838"/>
      <c r="F838">
        <v>512</v>
      </c>
      <c r="G838">
        <v>64</v>
      </c>
      <c r="H838"/>
      <c r="I838">
        <v>4000</v>
      </c>
      <c r="J838">
        <v>7.2</v>
      </c>
      <c r="K838">
        <v>65</v>
      </c>
      <c r="L838" t="s">
        <v>38</v>
      </c>
      <c r="M838" t="s">
        <v>18</v>
      </c>
      <c r="N838" t="s">
        <v>51</v>
      </c>
      <c r="O838">
        <v>4.8</v>
      </c>
      <c r="P838" t="s">
        <v>28</v>
      </c>
      <c r="Q838">
        <v>2025</v>
      </c>
    </row>
    <row r="839" spans="1:17" hidden="1" x14ac:dyDescent="0.3">
      <c r="A839" t="s">
        <v>29</v>
      </c>
      <c r="B839" t="s">
        <v>489</v>
      </c>
      <c r="C839">
        <v>1417</v>
      </c>
      <c r="D839">
        <v>4</v>
      </c>
      <c r="E839"/>
      <c r="F839">
        <v>512</v>
      </c>
      <c r="G839">
        <v>12</v>
      </c>
      <c r="H839"/>
      <c r="I839">
        <v>6000</v>
      </c>
      <c r="J839">
        <v>6.4</v>
      </c>
      <c r="K839">
        <v>44</v>
      </c>
      <c r="L839" t="s">
        <v>17</v>
      </c>
      <c r="M839" t="s">
        <v>18</v>
      </c>
      <c r="N839" t="s">
        <v>35</v>
      </c>
      <c r="O839">
        <v>4.8</v>
      </c>
      <c r="P839" t="s">
        <v>46</v>
      </c>
      <c r="Q839">
        <v>2025</v>
      </c>
    </row>
    <row r="840" spans="1:17" hidden="1" x14ac:dyDescent="0.3">
      <c r="A840" t="s">
        <v>29</v>
      </c>
      <c r="B840" t="s">
        <v>491</v>
      </c>
      <c r="C840">
        <v>498</v>
      </c>
      <c r="D840">
        <v>4</v>
      </c>
      <c r="E840"/>
      <c r="F840">
        <v>64</v>
      </c>
      <c r="G840">
        <v>50</v>
      </c>
      <c r="H840"/>
      <c r="I840">
        <v>6000</v>
      </c>
      <c r="J840">
        <v>6.5</v>
      </c>
      <c r="K840">
        <v>18</v>
      </c>
      <c r="L840" t="s">
        <v>17</v>
      </c>
      <c r="M840" t="s">
        <v>18</v>
      </c>
      <c r="N840" t="s">
        <v>19</v>
      </c>
      <c r="O840">
        <v>4.8</v>
      </c>
      <c r="P840" t="s">
        <v>71</v>
      </c>
      <c r="Q840">
        <v>2025</v>
      </c>
    </row>
    <row r="841" spans="1:17" hidden="1" x14ac:dyDescent="0.3">
      <c r="A841" t="s">
        <v>32</v>
      </c>
      <c r="B841" t="s">
        <v>517</v>
      </c>
      <c r="C841">
        <v>824</v>
      </c>
      <c r="D841">
        <v>4</v>
      </c>
      <c r="E841"/>
      <c r="F841">
        <v>512</v>
      </c>
      <c r="G841">
        <v>108</v>
      </c>
      <c r="H841"/>
      <c r="I841">
        <v>4500</v>
      </c>
      <c r="J841">
        <v>5.6</v>
      </c>
      <c r="K841">
        <v>44</v>
      </c>
      <c r="L841" t="s">
        <v>17</v>
      </c>
      <c r="M841" t="s">
        <v>34</v>
      </c>
      <c r="N841" t="s">
        <v>19</v>
      </c>
      <c r="O841">
        <v>4.8</v>
      </c>
      <c r="P841" t="s">
        <v>46</v>
      </c>
      <c r="Q841">
        <v>2025</v>
      </c>
    </row>
    <row r="842" spans="1:17" x14ac:dyDescent="0.3">
      <c r="A842" t="s">
        <v>25</v>
      </c>
      <c r="B842" t="s">
        <v>527</v>
      </c>
      <c r="C842">
        <v>1190</v>
      </c>
      <c r="D842">
        <v>4</v>
      </c>
      <c r="E842" s="8">
        <f>C842/D842</f>
        <v>297.5</v>
      </c>
      <c r="F842">
        <v>128</v>
      </c>
      <c r="G842">
        <v>50</v>
      </c>
      <c r="H842" s="8">
        <f>C842/G842</f>
        <v>23.8</v>
      </c>
      <c r="I842">
        <v>5500</v>
      </c>
      <c r="J842">
        <v>5.5</v>
      </c>
      <c r="K842">
        <v>33</v>
      </c>
      <c r="L842" t="s">
        <v>38</v>
      </c>
      <c r="M842" t="s">
        <v>18</v>
      </c>
      <c r="N842" t="s">
        <v>27</v>
      </c>
      <c r="O842">
        <v>4.8</v>
      </c>
      <c r="P842" t="s">
        <v>28</v>
      </c>
      <c r="Q842">
        <v>2025</v>
      </c>
    </row>
    <row r="843" spans="1:17" hidden="1" x14ac:dyDescent="0.3">
      <c r="A843" t="s">
        <v>29</v>
      </c>
      <c r="B843" t="s">
        <v>530</v>
      </c>
      <c r="C843">
        <v>699</v>
      </c>
      <c r="D843">
        <v>4</v>
      </c>
      <c r="E843"/>
      <c r="F843">
        <v>64</v>
      </c>
      <c r="G843">
        <v>200</v>
      </c>
      <c r="H843"/>
      <c r="I843">
        <v>5500</v>
      </c>
      <c r="J843">
        <v>7.1</v>
      </c>
      <c r="K843">
        <v>65</v>
      </c>
      <c r="L843" t="s">
        <v>17</v>
      </c>
      <c r="M843" t="s">
        <v>18</v>
      </c>
      <c r="N843" t="s">
        <v>61</v>
      </c>
      <c r="O843">
        <v>4.8</v>
      </c>
      <c r="P843" t="s">
        <v>46</v>
      </c>
      <c r="Q843">
        <v>2025</v>
      </c>
    </row>
    <row r="844" spans="1:17" hidden="1" x14ac:dyDescent="0.3">
      <c r="A844" t="s">
        <v>40</v>
      </c>
      <c r="B844" t="s">
        <v>163</v>
      </c>
      <c r="C844">
        <v>1164</v>
      </c>
      <c r="D844">
        <v>6</v>
      </c>
      <c r="E844"/>
      <c r="F844">
        <v>128</v>
      </c>
      <c r="G844">
        <v>200</v>
      </c>
      <c r="H844"/>
      <c r="I844">
        <v>4000</v>
      </c>
      <c r="J844">
        <v>6.2</v>
      </c>
      <c r="K844">
        <v>18</v>
      </c>
      <c r="L844" t="s">
        <v>17</v>
      </c>
      <c r="M844" t="s">
        <v>18</v>
      </c>
      <c r="N844" t="s">
        <v>27</v>
      </c>
      <c r="O844">
        <v>4.8</v>
      </c>
      <c r="P844" t="s">
        <v>28</v>
      </c>
      <c r="Q844">
        <v>2025</v>
      </c>
    </row>
    <row r="845" spans="1:17" hidden="1" x14ac:dyDescent="0.3">
      <c r="A845" t="s">
        <v>36</v>
      </c>
      <c r="B845" t="s">
        <v>227</v>
      </c>
      <c r="C845">
        <v>876</v>
      </c>
      <c r="D845">
        <v>6</v>
      </c>
      <c r="E845"/>
      <c r="F845">
        <v>128</v>
      </c>
      <c r="G845">
        <v>12</v>
      </c>
      <c r="H845"/>
      <c r="I845">
        <v>4500</v>
      </c>
      <c r="J845">
        <v>6.6</v>
      </c>
      <c r="K845">
        <v>120</v>
      </c>
      <c r="L845" t="s">
        <v>17</v>
      </c>
      <c r="M845" t="s">
        <v>18</v>
      </c>
      <c r="N845" t="s">
        <v>31</v>
      </c>
      <c r="O845">
        <v>4.8</v>
      </c>
      <c r="P845" t="s">
        <v>28</v>
      </c>
      <c r="Q845">
        <v>2025</v>
      </c>
    </row>
    <row r="846" spans="1:17" hidden="1" x14ac:dyDescent="0.3">
      <c r="A846" t="s">
        <v>21</v>
      </c>
      <c r="B846" t="s">
        <v>289</v>
      </c>
      <c r="C846">
        <v>941</v>
      </c>
      <c r="D846">
        <v>6</v>
      </c>
      <c r="E846"/>
      <c r="F846">
        <v>128</v>
      </c>
      <c r="G846">
        <v>12</v>
      </c>
      <c r="H846"/>
      <c r="I846">
        <v>4000</v>
      </c>
      <c r="J846">
        <v>6.1</v>
      </c>
      <c r="K846">
        <v>120</v>
      </c>
      <c r="L846" t="s">
        <v>38</v>
      </c>
      <c r="M846" t="s">
        <v>18</v>
      </c>
      <c r="N846" t="s">
        <v>27</v>
      </c>
      <c r="O846">
        <v>4.8</v>
      </c>
      <c r="P846" t="s">
        <v>46</v>
      </c>
      <c r="Q846">
        <v>2025</v>
      </c>
    </row>
    <row r="847" spans="1:17" hidden="1" x14ac:dyDescent="0.3">
      <c r="A847" t="s">
        <v>36</v>
      </c>
      <c r="B847" t="s">
        <v>360</v>
      </c>
      <c r="C847">
        <v>698</v>
      </c>
      <c r="D847">
        <v>6</v>
      </c>
      <c r="E847"/>
      <c r="F847">
        <v>1024</v>
      </c>
      <c r="G847">
        <v>50</v>
      </c>
      <c r="H847"/>
      <c r="I847">
        <v>4000</v>
      </c>
      <c r="J847">
        <v>5.8</v>
      </c>
      <c r="K847">
        <v>33</v>
      </c>
      <c r="L847" t="s">
        <v>38</v>
      </c>
      <c r="M847" t="s">
        <v>18</v>
      </c>
      <c r="N847" t="s">
        <v>35</v>
      </c>
      <c r="O847">
        <v>4.8</v>
      </c>
      <c r="P847" t="s">
        <v>56</v>
      </c>
      <c r="Q847">
        <v>2025</v>
      </c>
    </row>
    <row r="848" spans="1:17" hidden="1" x14ac:dyDescent="0.3">
      <c r="A848" t="s">
        <v>36</v>
      </c>
      <c r="B848" t="s">
        <v>525</v>
      </c>
      <c r="C848">
        <v>627</v>
      </c>
      <c r="D848">
        <v>6</v>
      </c>
      <c r="E848"/>
      <c r="F848">
        <v>512</v>
      </c>
      <c r="G848">
        <v>108</v>
      </c>
      <c r="H848"/>
      <c r="I848">
        <v>6000</v>
      </c>
      <c r="J848">
        <v>5.9</v>
      </c>
      <c r="K848">
        <v>33</v>
      </c>
      <c r="L848" t="s">
        <v>38</v>
      </c>
      <c r="M848" t="s">
        <v>18</v>
      </c>
      <c r="N848" t="s">
        <v>27</v>
      </c>
      <c r="O848">
        <v>4.8</v>
      </c>
      <c r="P848" t="s">
        <v>39</v>
      </c>
      <c r="Q848">
        <v>2025</v>
      </c>
    </row>
    <row r="849" spans="1:17" hidden="1" x14ac:dyDescent="0.3">
      <c r="A849" t="s">
        <v>66</v>
      </c>
      <c r="B849" t="s">
        <v>611</v>
      </c>
      <c r="C849">
        <v>1397</v>
      </c>
      <c r="D849">
        <v>6</v>
      </c>
      <c r="E849"/>
      <c r="F849">
        <v>64</v>
      </c>
      <c r="G849">
        <v>48</v>
      </c>
      <c r="H849"/>
      <c r="I849">
        <v>4000</v>
      </c>
      <c r="J849">
        <v>5.6</v>
      </c>
      <c r="K849">
        <v>100</v>
      </c>
      <c r="L849" t="s">
        <v>17</v>
      </c>
      <c r="M849" t="s">
        <v>18</v>
      </c>
      <c r="N849" t="s">
        <v>51</v>
      </c>
      <c r="O849">
        <v>4.8</v>
      </c>
      <c r="P849" t="s">
        <v>42</v>
      </c>
      <c r="Q849">
        <v>2025</v>
      </c>
    </row>
    <row r="850" spans="1:17" hidden="1" x14ac:dyDescent="0.3">
      <c r="A850" t="s">
        <v>49</v>
      </c>
      <c r="B850" t="s">
        <v>687</v>
      </c>
      <c r="C850">
        <v>699</v>
      </c>
      <c r="D850">
        <v>6</v>
      </c>
      <c r="E850"/>
      <c r="F850">
        <v>512</v>
      </c>
      <c r="G850">
        <v>50</v>
      </c>
      <c r="H850"/>
      <c r="I850">
        <v>4500</v>
      </c>
      <c r="J850">
        <v>5.9</v>
      </c>
      <c r="K850">
        <v>33</v>
      </c>
      <c r="L850" t="s">
        <v>17</v>
      </c>
      <c r="M850" t="s">
        <v>18</v>
      </c>
      <c r="N850" t="s">
        <v>27</v>
      </c>
      <c r="O850">
        <v>4.8</v>
      </c>
      <c r="P850" t="s">
        <v>44</v>
      </c>
      <c r="Q850">
        <v>2025</v>
      </c>
    </row>
    <row r="851" spans="1:17" hidden="1" x14ac:dyDescent="0.3">
      <c r="A851" t="s">
        <v>21</v>
      </c>
      <c r="B851" t="s">
        <v>744</v>
      </c>
      <c r="C851">
        <v>1296</v>
      </c>
      <c r="D851">
        <v>6</v>
      </c>
      <c r="E851"/>
      <c r="F851">
        <v>512</v>
      </c>
      <c r="G851">
        <v>108</v>
      </c>
      <c r="H851"/>
      <c r="I851">
        <v>4500</v>
      </c>
      <c r="J851">
        <v>6.7</v>
      </c>
      <c r="K851">
        <v>33</v>
      </c>
      <c r="L851" t="s">
        <v>17</v>
      </c>
      <c r="M851" t="s">
        <v>18</v>
      </c>
      <c r="N851" t="s">
        <v>35</v>
      </c>
      <c r="O851">
        <v>4.8</v>
      </c>
      <c r="P851" t="s">
        <v>42</v>
      </c>
      <c r="Q851">
        <v>2025</v>
      </c>
    </row>
    <row r="852" spans="1:17" hidden="1" x14ac:dyDescent="0.3">
      <c r="A852" t="s">
        <v>32</v>
      </c>
      <c r="B852" t="s">
        <v>772</v>
      </c>
      <c r="C852">
        <v>873</v>
      </c>
      <c r="D852">
        <v>6</v>
      </c>
      <c r="E852"/>
      <c r="F852">
        <v>256</v>
      </c>
      <c r="G852">
        <v>50</v>
      </c>
      <c r="H852"/>
      <c r="I852">
        <v>6000</v>
      </c>
      <c r="J852">
        <v>6</v>
      </c>
      <c r="K852">
        <v>33</v>
      </c>
      <c r="L852" t="s">
        <v>17</v>
      </c>
      <c r="M852" t="s">
        <v>34</v>
      </c>
      <c r="N852" t="s">
        <v>27</v>
      </c>
      <c r="O852">
        <v>4.8</v>
      </c>
      <c r="P852" t="s">
        <v>42</v>
      </c>
      <c r="Q852">
        <v>2025</v>
      </c>
    </row>
    <row r="853" spans="1:17" hidden="1" x14ac:dyDescent="0.3">
      <c r="A853" t="s">
        <v>36</v>
      </c>
      <c r="B853" t="s">
        <v>198</v>
      </c>
      <c r="C853">
        <v>897</v>
      </c>
      <c r="D853">
        <v>6</v>
      </c>
      <c r="E853"/>
      <c r="F853">
        <v>128</v>
      </c>
      <c r="G853">
        <v>200</v>
      </c>
      <c r="H853"/>
      <c r="I853">
        <v>6000</v>
      </c>
      <c r="J853">
        <v>6</v>
      </c>
      <c r="K853">
        <v>100</v>
      </c>
      <c r="L853" t="s">
        <v>38</v>
      </c>
      <c r="M853" t="s">
        <v>18</v>
      </c>
      <c r="N853" t="s">
        <v>61</v>
      </c>
      <c r="O853">
        <v>4.8</v>
      </c>
      <c r="P853" t="s">
        <v>71</v>
      </c>
      <c r="Q853">
        <v>2025</v>
      </c>
    </row>
    <row r="854" spans="1:17" hidden="1" x14ac:dyDescent="0.3">
      <c r="A854" t="s">
        <v>36</v>
      </c>
      <c r="B854" t="s">
        <v>1028</v>
      </c>
      <c r="C854">
        <v>850</v>
      </c>
      <c r="D854">
        <v>8</v>
      </c>
      <c r="E854" s="8">
        <f>C854/D854</f>
        <v>106.25</v>
      </c>
      <c r="F854">
        <v>64</v>
      </c>
      <c r="G854">
        <v>108</v>
      </c>
      <c r="H854" s="8">
        <f>C854/G854</f>
        <v>7.8703703703703702</v>
      </c>
      <c r="I854">
        <v>4500</v>
      </c>
      <c r="J854">
        <v>6.4</v>
      </c>
      <c r="K854">
        <v>33</v>
      </c>
      <c r="L854" t="s">
        <v>17</v>
      </c>
      <c r="M854" t="s">
        <v>18</v>
      </c>
      <c r="N854" t="s">
        <v>27</v>
      </c>
      <c r="O854">
        <v>4.8</v>
      </c>
      <c r="P854" t="s">
        <v>71</v>
      </c>
      <c r="Q854">
        <v>2025</v>
      </c>
    </row>
    <row r="855" spans="1:17" hidden="1" x14ac:dyDescent="0.3">
      <c r="A855" t="s">
        <v>49</v>
      </c>
      <c r="B855" t="s">
        <v>876</v>
      </c>
      <c r="C855">
        <v>645</v>
      </c>
      <c r="D855">
        <v>6</v>
      </c>
      <c r="E855"/>
      <c r="F855">
        <v>64</v>
      </c>
      <c r="G855">
        <v>12</v>
      </c>
      <c r="H855"/>
      <c r="I855">
        <v>4000</v>
      </c>
      <c r="J855">
        <v>6.8</v>
      </c>
      <c r="K855">
        <v>44</v>
      </c>
      <c r="L855" t="s">
        <v>38</v>
      </c>
      <c r="M855" t="s">
        <v>18</v>
      </c>
      <c r="N855" t="s">
        <v>48</v>
      </c>
      <c r="O855">
        <v>4.8</v>
      </c>
      <c r="P855" t="s">
        <v>56</v>
      </c>
      <c r="Q855">
        <v>2025</v>
      </c>
    </row>
    <row r="856" spans="1:17" hidden="1" x14ac:dyDescent="0.3">
      <c r="A856" t="s">
        <v>25</v>
      </c>
      <c r="B856" t="s">
        <v>1037</v>
      </c>
      <c r="C856">
        <v>1164</v>
      </c>
      <c r="D856">
        <v>6</v>
      </c>
      <c r="E856"/>
      <c r="F856">
        <v>128</v>
      </c>
      <c r="G856">
        <v>200</v>
      </c>
      <c r="H856"/>
      <c r="I856">
        <v>4500</v>
      </c>
      <c r="J856">
        <v>5.7</v>
      </c>
      <c r="K856">
        <v>120</v>
      </c>
      <c r="L856" t="s">
        <v>38</v>
      </c>
      <c r="M856" t="s">
        <v>18</v>
      </c>
      <c r="N856" t="s">
        <v>19</v>
      </c>
      <c r="O856">
        <v>4.8</v>
      </c>
      <c r="P856" t="s">
        <v>64</v>
      </c>
      <c r="Q856">
        <v>2025</v>
      </c>
    </row>
    <row r="857" spans="1:17" hidden="1" x14ac:dyDescent="0.3">
      <c r="A857" t="s">
        <v>15</v>
      </c>
      <c r="B857" t="s">
        <v>157</v>
      </c>
      <c r="C857">
        <v>695</v>
      </c>
      <c r="D857">
        <v>8</v>
      </c>
      <c r="E857"/>
      <c r="F857">
        <v>256</v>
      </c>
      <c r="G857">
        <v>50</v>
      </c>
      <c r="H857"/>
      <c r="I857">
        <v>5000</v>
      </c>
      <c r="J857">
        <v>6.4</v>
      </c>
      <c r="K857">
        <v>100</v>
      </c>
      <c r="L857" t="s">
        <v>38</v>
      </c>
      <c r="M857" t="s">
        <v>18</v>
      </c>
      <c r="N857" t="s">
        <v>27</v>
      </c>
      <c r="O857">
        <v>4.8</v>
      </c>
      <c r="P857" t="s">
        <v>71</v>
      </c>
      <c r="Q857">
        <v>2025</v>
      </c>
    </row>
    <row r="858" spans="1:17" hidden="1" x14ac:dyDescent="0.3">
      <c r="A858" t="s">
        <v>36</v>
      </c>
      <c r="B858" t="s">
        <v>233</v>
      </c>
      <c r="C858">
        <v>342</v>
      </c>
      <c r="D858">
        <v>8</v>
      </c>
      <c r="E858"/>
      <c r="F858">
        <v>512</v>
      </c>
      <c r="G858">
        <v>48</v>
      </c>
      <c r="H858"/>
      <c r="I858">
        <v>4500</v>
      </c>
      <c r="J858">
        <v>7.1</v>
      </c>
      <c r="K858">
        <v>18</v>
      </c>
      <c r="L858" t="s">
        <v>38</v>
      </c>
      <c r="M858" t="s">
        <v>18</v>
      </c>
      <c r="N858" t="s">
        <v>19</v>
      </c>
      <c r="O858">
        <v>4.8</v>
      </c>
      <c r="P858" t="s">
        <v>71</v>
      </c>
      <c r="Q858">
        <v>2025</v>
      </c>
    </row>
    <row r="859" spans="1:17" hidden="1" x14ac:dyDescent="0.3">
      <c r="A859" t="s">
        <v>66</v>
      </c>
      <c r="B859" t="s">
        <v>248</v>
      </c>
      <c r="C859">
        <v>1293</v>
      </c>
      <c r="D859">
        <v>8</v>
      </c>
      <c r="E859"/>
      <c r="F859">
        <v>512</v>
      </c>
      <c r="G859">
        <v>48</v>
      </c>
      <c r="H859"/>
      <c r="I859">
        <v>5500</v>
      </c>
      <c r="J859">
        <v>6.3</v>
      </c>
      <c r="K859">
        <v>100</v>
      </c>
      <c r="L859" t="s">
        <v>17</v>
      </c>
      <c r="M859" t="s">
        <v>18</v>
      </c>
      <c r="N859" t="s">
        <v>35</v>
      </c>
      <c r="O859">
        <v>4.8</v>
      </c>
      <c r="P859" t="s">
        <v>42</v>
      </c>
      <c r="Q859">
        <v>2025</v>
      </c>
    </row>
    <row r="860" spans="1:17" hidden="1" x14ac:dyDescent="0.3">
      <c r="A860" t="s">
        <v>29</v>
      </c>
      <c r="B860" t="s">
        <v>379</v>
      </c>
      <c r="C860">
        <v>883</v>
      </c>
      <c r="D860">
        <v>8</v>
      </c>
      <c r="E860"/>
      <c r="F860">
        <v>512</v>
      </c>
      <c r="G860">
        <v>64</v>
      </c>
      <c r="H860"/>
      <c r="I860">
        <v>5000</v>
      </c>
      <c r="J860">
        <v>7.1</v>
      </c>
      <c r="K860">
        <v>18</v>
      </c>
      <c r="L860" t="s">
        <v>38</v>
      </c>
      <c r="M860" t="s">
        <v>18</v>
      </c>
      <c r="N860" t="s">
        <v>35</v>
      </c>
      <c r="O860">
        <v>4.8</v>
      </c>
      <c r="P860" t="s">
        <v>64</v>
      </c>
      <c r="Q860">
        <v>2025</v>
      </c>
    </row>
    <row r="861" spans="1:17" hidden="1" x14ac:dyDescent="0.3">
      <c r="A861" t="s">
        <v>36</v>
      </c>
      <c r="B861" t="s">
        <v>474</v>
      </c>
      <c r="C861">
        <v>1386</v>
      </c>
      <c r="D861">
        <v>8</v>
      </c>
      <c r="E861"/>
      <c r="F861">
        <v>1024</v>
      </c>
      <c r="G861">
        <v>108</v>
      </c>
      <c r="H861"/>
      <c r="I861">
        <v>6000</v>
      </c>
      <c r="J861">
        <v>7.1</v>
      </c>
      <c r="K861">
        <v>65</v>
      </c>
      <c r="L861" t="s">
        <v>17</v>
      </c>
      <c r="M861" t="s">
        <v>18</v>
      </c>
      <c r="N861" t="s">
        <v>51</v>
      </c>
      <c r="O861">
        <v>4.8</v>
      </c>
      <c r="P861" t="s">
        <v>28</v>
      </c>
      <c r="Q861">
        <v>2025</v>
      </c>
    </row>
    <row r="862" spans="1:17" hidden="1" x14ac:dyDescent="0.3">
      <c r="A862" t="s">
        <v>66</v>
      </c>
      <c r="B862" t="s">
        <v>483</v>
      </c>
      <c r="C862">
        <v>313</v>
      </c>
      <c r="D862">
        <v>8</v>
      </c>
      <c r="E862"/>
      <c r="F862">
        <v>128</v>
      </c>
      <c r="G862">
        <v>48</v>
      </c>
      <c r="H862"/>
      <c r="I862">
        <v>6000</v>
      </c>
      <c r="J862">
        <v>5.5</v>
      </c>
      <c r="K862">
        <v>65</v>
      </c>
      <c r="L862" t="s">
        <v>38</v>
      </c>
      <c r="M862" t="s">
        <v>18</v>
      </c>
      <c r="N862" t="s">
        <v>19</v>
      </c>
      <c r="O862">
        <v>4.8</v>
      </c>
      <c r="P862" t="s">
        <v>39</v>
      </c>
      <c r="Q862">
        <v>2025</v>
      </c>
    </row>
    <row r="863" spans="1:17" hidden="1" x14ac:dyDescent="0.3">
      <c r="A863" t="s">
        <v>21</v>
      </c>
      <c r="B863" t="s">
        <v>499</v>
      </c>
      <c r="C863">
        <v>795</v>
      </c>
      <c r="D863">
        <v>8</v>
      </c>
      <c r="E863"/>
      <c r="F863">
        <v>512</v>
      </c>
      <c r="G863">
        <v>50</v>
      </c>
      <c r="H863"/>
      <c r="I863">
        <v>5500</v>
      </c>
      <c r="J863">
        <v>6.5</v>
      </c>
      <c r="K863">
        <v>18</v>
      </c>
      <c r="L863" t="s">
        <v>17</v>
      </c>
      <c r="M863" t="s">
        <v>18</v>
      </c>
      <c r="N863" t="s">
        <v>31</v>
      </c>
      <c r="O863">
        <v>4.8</v>
      </c>
      <c r="P863" t="s">
        <v>28</v>
      </c>
      <c r="Q863">
        <v>2025</v>
      </c>
    </row>
    <row r="864" spans="1:17" hidden="1" x14ac:dyDescent="0.3">
      <c r="A864" t="s">
        <v>49</v>
      </c>
      <c r="B864" t="s">
        <v>553</v>
      </c>
      <c r="C864">
        <v>278</v>
      </c>
      <c r="D864">
        <v>8</v>
      </c>
      <c r="E864"/>
      <c r="F864">
        <v>128</v>
      </c>
      <c r="G864">
        <v>200</v>
      </c>
      <c r="H864"/>
      <c r="I864">
        <v>4000</v>
      </c>
      <c r="J864">
        <v>5.7</v>
      </c>
      <c r="K864">
        <v>100</v>
      </c>
      <c r="L864" t="s">
        <v>38</v>
      </c>
      <c r="M864" t="s">
        <v>18</v>
      </c>
      <c r="N864" t="s">
        <v>61</v>
      </c>
      <c r="O864">
        <v>4.8</v>
      </c>
      <c r="P864" t="s">
        <v>64</v>
      </c>
      <c r="Q864">
        <v>2025</v>
      </c>
    </row>
    <row r="865" spans="1:17" hidden="1" x14ac:dyDescent="0.3">
      <c r="A865" t="s">
        <v>15</v>
      </c>
      <c r="B865" t="s">
        <v>690</v>
      </c>
      <c r="C865">
        <v>1391</v>
      </c>
      <c r="D865">
        <v>8</v>
      </c>
      <c r="E865"/>
      <c r="F865">
        <v>256</v>
      </c>
      <c r="G865">
        <v>50</v>
      </c>
      <c r="H865"/>
      <c r="I865">
        <v>5500</v>
      </c>
      <c r="J865">
        <v>6.9</v>
      </c>
      <c r="K865">
        <v>65</v>
      </c>
      <c r="L865" t="s">
        <v>38</v>
      </c>
      <c r="M865" t="s">
        <v>18</v>
      </c>
      <c r="N865" t="s">
        <v>35</v>
      </c>
      <c r="O865">
        <v>4.8</v>
      </c>
      <c r="P865" t="s">
        <v>28</v>
      </c>
      <c r="Q865">
        <v>2025</v>
      </c>
    </row>
    <row r="866" spans="1:17" x14ac:dyDescent="0.3">
      <c r="A866" t="s">
        <v>21</v>
      </c>
      <c r="B866" t="s">
        <v>974</v>
      </c>
      <c r="C866">
        <v>1106</v>
      </c>
      <c r="D866">
        <v>16</v>
      </c>
      <c r="E866" s="8">
        <f t="shared" ref="E866:E870" si="84">C866/D866</f>
        <v>69.125</v>
      </c>
      <c r="F866">
        <v>64</v>
      </c>
      <c r="G866">
        <v>200</v>
      </c>
      <c r="H866" s="8">
        <f t="shared" ref="H866:H870" si="85">C866/G866</f>
        <v>5.53</v>
      </c>
      <c r="I866">
        <v>5500</v>
      </c>
      <c r="J866">
        <v>6.1</v>
      </c>
      <c r="K866">
        <v>44</v>
      </c>
      <c r="L866" t="s">
        <v>38</v>
      </c>
      <c r="M866" t="s">
        <v>18</v>
      </c>
      <c r="N866" t="s">
        <v>23</v>
      </c>
      <c r="O866">
        <v>4.8</v>
      </c>
      <c r="P866" t="s">
        <v>71</v>
      </c>
      <c r="Q866">
        <v>2025</v>
      </c>
    </row>
    <row r="867" spans="1:17" hidden="1" x14ac:dyDescent="0.3">
      <c r="A867" t="s">
        <v>40</v>
      </c>
      <c r="B867" t="s">
        <v>561</v>
      </c>
      <c r="C867">
        <v>808</v>
      </c>
      <c r="D867">
        <v>12</v>
      </c>
      <c r="E867" s="8">
        <f t="shared" si="84"/>
        <v>67.333333333333329</v>
      </c>
      <c r="F867">
        <v>64</v>
      </c>
      <c r="G867">
        <v>200</v>
      </c>
      <c r="H867" s="8">
        <f t="shared" si="85"/>
        <v>4.04</v>
      </c>
      <c r="I867">
        <v>5000</v>
      </c>
      <c r="J867">
        <v>7.1</v>
      </c>
      <c r="K867">
        <v>44</v>
      </c>
      <c r="L867" t="s">
        <v>17</v>
      </c>
      <c r="M867" t="s">
        <v>18</v>
      </c>
      <c r="N867" t="s">
        <v>19</v>
      </c>
      <c r="O867">
        <v>4.8</v>
      </c>
      <c r="P867" t="s">
        <v>64</v>
      </c>
      <c r="Q867">
        <v>2025</v>
      </c>
    </row>
    <row r="868" spans="1:17" x14ac:dyDescent="0.3">
      <c r="A868" t="s">
        <v>21</v>
      </c>
      <c r="B868" t="s">
        <v>664</v>
      </c>
      <c r="C868">
        <v>1080</v>
      </c>
      <c r="D868">
        <v>12</v>
      </c>
      <c r="E868" s="8">
        <f t="shared" si="84"/>
        <v>90</v>
      </c>
      <c r="F868">
        <v>64</v>
      </c>
      <c r="G868">
        <v>200</v>
      </c>
      <c r="H868" s="8">
        <f t="shared" si="85"/>
        <v>5.4</v>
      </c>
      <c r="I868">
        <v>4000</v>
      </c>
      <c r="J868">
        <v>5.9</v>
      </c>
      <c r="K868">
        <v>65</v>
      </c>
      <c r="L868" t="s">
        <v>38</v>
      </c>
      <c r="M868" t="s">
        <v>18</v>
      </c>
      <c r="N868" t="s">
        <v>48</v>
      </c>
      <c r="O868">
        <v>4.8</v>
      </c>
      <c r="P868" t="s">
        <v>46</v>
      </c>
      <c r="Q868">
        <v>2025</v>
      </c>
    </row>
    <row r="869" spans="1:17" x14ac:dyDescent="0.3">
      <c r="A869" t="s">
        <v>36</v>
      </c>
      <c r="B869" t="s">
        <v>94</v>
      </c>
      <c r="C869">
        <v>1060</v>
      </c>
      <c r="D869">
        <v>12</v>
      </c>
      <c r="E869" s="8">
        <f t="shared" si="84"/>
        <v>88.333333333333329</v>
      </c>
      <c r="F869">
        <v>1024</v>
      </c>
      <c r="G869">
        <v>12</v>
      </c>
      <c r="H869" s="8">
        <f t="shared" si="85"/>
        <v>88.333333333333329</v>
      </c>
      <c r="I869">
        <v>4500</v>
      </c>
      <c r="J869">
        <v>6.4</v>
      </c>
      <c r="K869">
        <v>65</v>
      </c>
      <c r="L869" t="s">
        <v>38</v>
      </c>
      <c r="M869" t="s">
        <v>18</v>
      </c>
      <c r="N869" t="s">
        <v>23</v>
      </c>
      <c r="O869">
        <v>4.8</v>
      </c>
      <c r="P869" t="s">
        <v>56</v>
      </c>
      <c r="Q869">
        <v>2025</v>
      </c>
    </row>
    <row r="870" spans="1:17" hidden="1" x14ac:dyDescent="0.3">
      <c r="A870" t="s">
        <v>25</v>
      </c>
      <c r="B870" t="s">
        <v>733</v>
      </c>
      <c r="C870">
        <v>302</v>
      </c>
      <c r="D870">
        <v>8</v>
      </c>
      <c r="E870" s="8">
        <f t="shared" si="84"/>
        <v>37.75</v>
      </c>
      <c r="F870">
        <v>64</v>
      </c>
      <c r="G870">
        <v>50</v>
      </c>
      <c r="H870" s="8">
        <f t="shared" si="85"/>
        <v>6.04</v>
      </c>
      <c r="I870">
        <v>5500</v>
      </c>
      <c r="J870">
        <v>7</v>
      </c>
      <c r="K870">
        <v>65</v>
      </c>
      <c r="L870" t="s">
        <v>17</v>
      </c>
      <c r="M870" t="s">
        <v>18</v>
      </c>
      <c r="N870" t="s">
        <v>23</v>
      </c>
      <c r="O870">
        <v>4.8</v>
      </c>
      <c r="P870" t="s">
        <v>44</v>
      </c>
      <c r="Q870">
        <v>2025</v>
      </c>
    </row>
    <row r="871" spans="1:17" hidden="1" x14ac:dyDescent="0.3">
      <c r="A871" t="s">
        <v>25</v>
      </c>
      <c r="B871" t="s">
        <v>176</v>
      </c>
      <c r="C871">
        <v>1349</v>
      </c>
      <c r="D871">
        <v>12</v>
      </c>
      <c r="E871"/>
      <c r="F871">
        <v>512</v>
      </c>
      <c r="G871">
        <v>12</v>
      </c>
      <c r="H871"/>
      <c r="I871">
        <v>4500</v>
      </c>
      <c r="J871">
        <v>6.2</v>
      </c>
      <c r="K871">
        <v>18</v>
      </c>
      <c r="L871" t="s">
        <v>38</v>
      </c>
      <c r="M871" t="s">
        <v>18</v>
      </c>
      <c r="N871" t="s">
        <v>51</v>
      </c>
      <c r="O871">
        <v>4.8</v>
      </c>
      <c r="P871" t="s">
        <v>64</v>
      </c>
      <c r="Q871">
        <v>2025</v>
      </c>
    </row>
    <row r="872" spans="1:17" x14ac:dyDescent="0.3">
      <c r="A872" t="s">
        <v>29</v>
      </c>
      <c r="B872" t="s">
        <v>187</v>
      </c>
      <c r="C872">
        <v>1403</v>
      </c>
      <c r="D872">
        <v>4</v>
      </c>
      <c r="E872" s="8">
        <f>C872/D872</f>
        <v>350.75</v>
      </c>
      <c r="F872">
        <v>1024</v>
      </c>
      <c r="G872">
        <v>200</v>
      </c>
      <c r="H872" s="8">
        <f>C872/G872</f>
        <v>7.0149999999999997</v>
      </c>
      <c r="I872">
        <v>4000</v>
      </c>
      <c r="J872">
        <v>7.1</v>
      </c>
      <c r="K872">
        <v>65</v>
      </c>
      <c r="L872" t="s">
        <v>38</v>
      </c>
      <c r="M872" t="s">
        <v>18</v>
      </c>
      <c r="N872" t="s">
        <v>31</v>
      </c>
      <c r="O872">
        <v>4.8</v>
      </c>
      <c r="P872" t="s">
        <v>54</v>
      </c>
      <c r="Q872">
        <v>2025</v>
      </c>
    </row>
    <row r="873" spans="1:17" hidden="1" x14ac:dyDescent="0.3">
      <c r="A873" t="s">
        <v>49</v>
      </c>
      <c r="B873" t="s">
        <v>404</v>
      </c>
      <c r="C873">
        <v>815</v>
      </c>
      <c r="D873">
        <v>12</v>
      </c>
      <c r="E873"/>
      <c r="F873">
        <v>64</v>
      </c>
      <c r="G873">
        <v>48</v>
      </c>
      <c r="H873"/>
      <c r="I873">
        <v>6000</v>
      </c>
      <c r="J873">
        <v>6.3</v>
      </c>
      <c r="K873">
        <v>18</v>
      </c>
      <c r="L873" t="s">
        <v>17</v>
      </c>
      <c r="M873" t="s">
        <v>18</v>
      </c>
      <c r="N873" t="s">
        <v>48</v>
      </c>
      <c r="O873">
        <v>4.8</v>
      </c>
      <c r="P873" t="s">
        <v>56</v>
      </c>
      <c r="Q873">
        <v>2025</v>
      </c>
    </row>
    <row r="874" spans="1:17" hidden="1" x14ac:dyDescent="0.3">
      <c r="A874" t="s">
        <v>25</v>
      </c>
      <c r="B874" t="s">
        <v>537</v>
      </c>
      <c r="C874">
        <v>1357</v>
      </c>
      <c r="D874">
        <v>12</v>
      </c>
      <c r="E874"/>
      <c r="F874">
        <v>128</v>
      </c>
      <c r="G874">
        <v>12</v>
      </c>
      <c r="H874"/>
      <c r="I874">
        <v>6000</v>
      </c>
      <c r="J874">
        <v>6</v>
      </c>
      <c r="K874">
        <v>65</v>
      </c>
      <c r="L874" t="s">
        <v>38</v>
      </c>
      <c r="M874" t="s">
        <v>18</v>
      </c>
      <c r="N874" t="s">
        <v>51</v>
      </c>
      <c r="O874">
        <v>4.8</v>
      </c>
      <c r="P874" t="s">
        <v>24</v>
      </c>
      <c r="Q874">
        <v>2025</v>
      </c>
    </row>
    <row r="875" spans="1:17" x14ac:dyDescent="0.3">
      <c r="A875" t="s">
        <v>36</v>
      </c>
      <c r="B875" t="s">
        <v>920</v>
      </c>
      <c r="C875">
        <v>270</v>
      </c>
      <c r="D875">
        <v>8</v>
      </c>
      <c r="E875" s="8">
        <f>C875/D875</f>
        <v>33.75</v>
      </c>
      <c r="F875">
        <v>1024</v>
      </c>
      <c r="G875">
        <v>64</v>
      </c>
      <c r="H875" s="8">
        <f>C875/G875</f>
        <v>4.21875</v>
      </c>
      <c r="I875">
        <v>5000</v>
      </c>
      <c r="J875">
        <v>5.7</v>
      </c>
      <c r="K875">
        <v>100</v>
      </c>
      <c r="L875" t="s">
        <v>38</v>
      </c>
      <c r="M875" t="s">
        <v>18</v>
      </c>
      <c r="N875" t="s">
        <v>35</v>
      </c>
      <c r="O875">
        <v>4.8</v>
      </c>
      <c r="P875" t="s">
        <v>46</v>
      </c>
      <c r="Q875">
        <v>2025</v>
      </c>
    </row>
    <row r="876" spans="1:17" hidden="1" x14ac:dyDescent="0.3">
      <c r="A876" t="s">
        <v>40</v>
      </c>
      <c r="B876" t="s">
        <v>590</v>
      </c>
      <c r="C876">
        <v>825</v>
      </c>
      <c r="D876">
        <v>12</v>
      </c>
      <c r="E876"/>
      <c r="F876">
        <v>128</v>
      </c>
      <c r="G876">
        <v>12</v>
      </c>
      <c r="H876"/>
      <c r="I876">
        <v>4500</v>
      </c>
      <c r="J876">
        <v>6</v>
      </c>
      <c r="K876">
        <v>44</v>
      </c>
      <c r="L876" t="s">
        <v>38</v>
      </c>
      <c r="M876" t="s">
        <v>18</v>
      </c>
      <c r="N876" t="s">
        <v>35</v>
      </c>
      <c r="O876">
        <v>4.8</v>
      </c>
      <c r="P876" t="s">
        <v>46</v>
      </c>
      <c r="Q876">
        <v>2025</v>
      </c>
    </row>
    <row r="877" spans="1:17" hidden="1" x14ac:dyDescent="0.3">
      <c r="A877" t="s">
        <v>66</v>
      </c>
      <c r="B877" t="s">
        <v>599</v>
      </c>
      <c r="C877">
        <v>1139</v>
      </c>
      <c r="D877">
        <v>12</v>
      </c>
      <c r="E877"/>
      <c r="F877">
        <v>128</v>
      </c>
      <c r="G877">
        <v>50</v>
      </c>
      <c r="H877"/>
      <c r="I877">
        <v>5500</v>
      </c>
      <c r="J877">
        <v>6.2</v>
      </c>
      <c r="K877">
        <v>120</v>
      </c>
      <c r="L877" t="s">
        <v>38</v>
      </c>
      <c r="M877" t="s">
        <v>18</v>
      </c>
      <c r="N877" t="s">
        <v>31</v>
      </c>
      <c r="O877">
        <v>4.8</v>
      </c>
      <c r="P877" t="s">
        <v>71</v>
      </c>
      <c r="Q877">
        <v>2025</v>
      </c>
    </row>
    <row r="878" spans="1:17" x14ac:dyDescent="0.3">
      <c r="A878" t="s">
        <v>40</v>
      </c>
      <c r="B878" t="s">
        <v>84</v>
      </c>
      <c r="C878">
        <v>1032</v>
      </c>
      <c r="D878">
        <v>4</v>
      </c>
      <c r="E878" s="8">
        <f t="shared" ref="E878:E879" si="86">C878/D878</f>
        <v>258</v>
      </c>
      <c r="F878">
        <v>512</v>
      </c>
      <c r="G878">
        <v>200</v>
      </c>
      <c r="H878" s="8">
        <f t="shared" ref="H878:H879" si="87">C878/G878</f>
        <v>5.16</v>
      </c>
      <c r="I878">
        <v>5000</v>
      </c>
      <c r="J878">
        <v>5.9</v>
      </c>
      <c r="K878">
        <v>100</v>
      </c>
      <c r="L878" t="s">
        <v>38</v>
      </c>
      <c r="M878" t="s">
        <v>18</v>
      </c>
      <c r="N878" t="s">
        <v>23</v>
      </c>
      <c r="O878">
        <v>4.8</v>
      </c>
      <c r="P878" t="s">
        <v>71</v>
      </c>
      <c r="Q878">
        <v>2025</v>
      </c>
    </row>
    <row r="879" spans="1:17" x14ac:dyDescent="0.3">
      <c r="A879" t="s">
        <v>29</v>
      </c>
      <c r="B879" t="s">
        <v>828</v>
      </c>
      <c r="C879">
        <v>1009</v>
      </c>
      <c r="D879">
        <v>6</v>
      </c>
      <c r="E879" s="8">
        <f t="shared" si="86"/>
        <v>168.16666666666666</v>
      </c>
      <c r="F879">
        <v>256</v>
      </c>
      <c r="G879">
        <v>50</v>
      </c>
      <c r="H879" s="8">
        <f t="shared" si="87"/>
        <v>20.18</v>
      </c>
      <c r="I879">
        <v>5000</v>
      </c>
      <c r="J879">
        <v>5.8</v>
      </c>
      <c r="K879">
        <v>120</v>
      </c>
      <c r="L879" t="s">
        <v>38</v>
      </c>
      <c r="M879" t="s">
        <v>18</v>
      </c>
      <c r="N879" t="s">
        <v>31</v>
      </c>
      <c r="O879">
        <v>4.8</v>
      </c>
      <c r="P879" t="s">
        <v>64</v>
      </c>
      <c r="Q879">
        <v>2025</v>
      </c>
    </row>
    <row r="880" spans="1:17" hidden="1" x14ac:dyDescent="0.3">
      <c r="A880" t="s">
        <v>49</v>
      </c>
      <c r="B880" t="s">
        <v>746</v>
      </c>
      <c r="C880">
        <v>1435</v>
      </c>
      <c r="D880">
        <v>12</v>
      </c>
      <c r="E880"/>
      <c r="F880">
        <v>128</v>
      </c>
      <c r="G880">
        <v>64</v>
      </c>
      <c r="H880"/>
      <c r="I880">
        <v>6000</v>
      </c>
      <c r="J880">
        <v>7</v>
      </c>
      <c r="K880">
        <v>100</v>
      </c>
      <c r="L880" t="s">
        <v>17</v>
      </c>
      <c r="M880" t="s">
        <v>18</v>
      </c>
      <c r="N880" t="s">
        <v>27</v>
      </c>
      <c r="O880">
        <v>4.8</v>
      </c>
      <c r="P880" t="s">
        <v>44</v>
      </c>
      <c r="Q880">
        <v>2025</v>
      </c>
    </row>
    <row r="881" spans="1:17" hidden="1" x14ac:dyDescent="0.3">
      <c r="A881" t="s">
        <v>40</v>
      </c>
      <c r="B881" t="s">
        <v>923</v>
      </c>
      <c r="C881">
        <v>1116</v>
      </c>
      <c r="D881">
        <v>12</v>
      </c>
      <c r="E881"/>
      <c r="F881">
        <v>64</v>
      </c>
      <c r="G881">
        <v>200</v>
      </c>
      <c r="H881"/>
      <c r="I881">
        <v>5000</v>
      </c>
      <c r="J881">
        <v>7.1</v>
      </c>
      <c r="K881">
        <v>33</v>
      </c>
      <c r="L881" t="s">
        <v>38</v>
      </c>
      <c r="M881" t="s">
        <v>18</v>
      </c>
      <c r="N881" t="s">
        <v>35</v>
      </c>
      <c r="O881">
        <v>4.8</v>
      </c>
      <c r="P881" t="s">
        <v>28</v>
      </c>
      <c r="Q881">
        <v>2025</v>
      </c>
    </row>
    <row r="882" spans="1:17" hidden="1" x14ac:dyDescent="0.3">
      <c r="A882" t="s">
        <v>49</v>
      </c>
      <c r="B882" t="s">
        <v>995</v>
      </c>
      <c r="C882">
        <v>894</v>
      </c>
      <c r="D882">
        <v>12</v>
      </c>
      <c r="E882"/>
      <c r="F882">
        <v>128</v>
      </c>
      <c r="G882">
        <v>48</v>
      </c>
      <c r="H882"/>
      <c r="I882">
        <v>5500</v>
      </c>
      <c r="J882">
        <v>6.9</v>
      </c>
      <c r="K882">
        <v>100</v>
      </c>
      <c r="L882" t="s">
        <v>38</v>
      </c>
      <c r="M882" t="s">
        <v>18</v>
      </c>
      <c r="N882" t="s">
        <v>27</v>
      </c>
      <c r="O882">
        <v>4.8</v>
      </c>
      <c r="P882" t="s">
        <v>82</v>
      </c>
      <c r="Q882">
        <v>2025</v>
      </c>
    </row>
    <row r="883" spans="1:17" hidden="1" x14ac:dyDescent="0.3">
      <c r="A883" t="s">
        <v>25</v>
      </c>
      <c r="B883" t="s">
        <v>1013</v>
      </c>
      <c r="C883">
        <v>171</v>
      </c>
      <c r="D883">
        <v>12</v>
      </c>
      <c r="E883"/>
      <c r="F883">
        <v>64</v>
      </c>
      <c r="G883">
        <v>48</v>
      </c>
      <c r="H883"/>
      <c r="I883">
        <v>5000</v>
      </c>
      <c r="J883">
        <v>5.8</v>
      </c>
      <c r="K883">
        <v>120</v>
      </c>
      <c r="L883" t="s">
        <v>17</v>
      </c>
      <c r="M883" t="s">
        <v>18</v>
      </c>
      <c r="N883" t="s">
        <v>61</v>
      </c>
      <c r="O883">
        <v>4.8</v>
      </c>
      <c r="P883" t="s">
        <v>24</v>
      </c>
      <c r="Q883">
        <v>2025</v>
      </c>
    </row>
    <row r="884" spans="1:17" hidden="1" x14ac:dyDescent="0.3">
      <c r="A884" t="s">
        <v>15</v>
      </c>
      <c r="B884" t="s">
        <v>132</v>
      </c>
      <c r="C884">
        <v>1346</v>
      </c>
      <c r="D884">
        <v>16</v>
      </c>
      <c r="E884"/>
      <c r="F884">
        <v>128</v>
      </c>
      <c r="G884">
        <v>50</v>
      </c>
      <c r="H884"/>
      <c r="I884">
        <v>5000</v>
      </c>
      <c r="J884">
        <v>7.2</v>
      </c>
      <c r="K884">
        <v>65</v>
      </c>
      <c r="L884" t="s">
        <v>17</v>
      </c>
      <c r="M884" t="s">
        <v>18</v>
      </c>
      <c r="N884" t="s">
        <v>35</v>
      </c>
      <c r="O884">
        <v>4.8</v>
      </c>
      <c r="P884" t="s">
        <v>28</v>
      </c>
      <c r="Q884">
        <v>2025</v>
      </c>
    </row>
    <row r="885" spans="1:17" hidden="1" x14ac:dyDescent="0.3">
      <c r="A885" t="s">
        <v>40</v>
      </c>
      <c r="B885" t="s">
        <v>252</v>
      </c>
      <c r="C885">
        <v>1276</v>
      </c>
      <c r="D885">
        <v>16</v>
      </c>
      <c r="E885"/>
      <c r="F885">
        <v>512</v>
      </c>
      <c r="G885">
        <v>48</v>
      </c>
      <c r="H885"/>
      <c r="I885">
        <v>6000</v>
      </c>
      <c r="J885">
        <v>7.1</v>
      </c>
      <c r="K885">
        <v>100</v>
      </c>
      <c r="L885" t="s">
        <v>38</v>
      </c>
      <c r="M885" t="s">
        <v>18</v>
      </c>
      <c r="N885" t="s">
        <v>27</v>
      </c>
      <c r="O885">
        <v>4.8</v>
      </c>
      <c r="P885" t="s">
        <v>64</v>
      </c>
      <c r="Q885">
        <v>2025</v>
      </c>
    </row>
    <row r="886" spans="1:17" hidden="1" x14ac:dyDescent="0.3">
      <c r="A886" t="s">
        <v>29</v>
      </c>
      <c r="B886" t="s">
        <v>302</v>
      </c>
      <c r="C886">
        <v>886</v>
      </c>
      <c r="D886">
        <v>16</v>
      </c>
      <c r="E886"/>
      <c r="F886">
        <v>128</v>
      </c>
      <c r="G886">
        <v>50</v>
      </c>
      <c r="H886"/>
      <c r="I886">
        <v>4000</v>
      </c>
      <c r="J886">
        <v>5.5</v>
      </c>
      <c r="K886">
        <v>44</v>
      </c>
      <c r="L886" t="s">
        <v>17</v>
      </c>
      <c r="M886" t="s">
        <v>18</v>
      </c>
      <c r="N886" t="s">
        <v>51</v>
      </c>
      <c r="O886">
        <v>4.8</v>
      </c>
      <c r="P886" t="s">
        <v>46</v>
      </c>
      <c r="Q886">
        <v>2025</v>
      </c>
    </row>
    <row r="887" spans="1:17" hidden="1" x14ac:dyDescent="0.3">
      <c r="A887" t="s">
        <v>29</v>
      </c>
      <c r="B887" t="s">
        <v>324</v>
      </c>
      <c r="C887">
        <v>1486</v>
      </c>
      <c r="D887">
        <v>16</v>
      </c>
      <c r="E887"/>
      <c r="F887">
        <v>64</v>
      </c>
      <c r="G887">
        <v>48</v>
      </c>
      <c r="H887"/>
      <c r="I887">
        <v>5500</v>
      </c>
      <c r="J887">
        <v>6.3</v>
      </c>
      <c r="K887">
        <v>65</v>
      </c>
      <c r="L887" t="s">
        <v>38</v>
      </c>
      <c r="M887" t="s">
        <v>18</v>
      </c>
      <c r="N887" t="s">
        <v>61</v>
      </c>
      <c r="O887">
        <v>4.8</v>
      </c>
      <c r="P887" t="s">
        <v>20</v>
      </c>
      <c r="Q887">
        <v>2025</v>
      </c>
    </row>
    <row r="888" spans="1:17" hidden="1" x14ac:dyDescent="0.3">
      <c r="A888" t="s">
        <v>29</v>
      </c>
      <c r="B888" t="s">
        <v>372</v>
      </c>
      <c r="C888">
        <v>933</v>
      </c>
      <c r="D888">
        <v>16</v>
      </c>
      <c r="E888"/>
      <c r="F888">
        <v>512</v>
      </c>
      <c r="G888">
        <v>108</v>
      </c>
      <c r="H888"/>
      <c r="I888">
        <v>6000</v>
      </c>
      <c r="J888">
        <v>7.1</v>
      </c>
      <c r="K888">
        <v>65</v>
      </c>
      <c r="L888" t="s">
        <v>38</v>
      </c>
      <c r="M888" t="s">
        <v>18</v>
      </c>
      <c r="N888" t="s">
        <v>31</v>
      </c>
      <c r="O888">
        <v>4.8</v>
      </c>
      <c r="P888" t="s">
        <v>46</v>
      </c>
      <c r="Q888">
        <v>2025</v>
      </c>
    </row>
    <row r="889" spans="1:17" hidden="1" x14ac:dyDescent="0.3">
      <c r="A889" t="s">
        <v>40</v>
      </c>
      <c r="B889" t="s">
        <v>436</v>
      </c>
      <c r="C889">
        <v>513</v>
      </c>
      <c r="D889">
        <v>16</v>
      </c>
      <c r="E889"/>
      <c r="F889">
        <v>256</v>
      </c>
      <c r="G889">
        <v>64</v>
      </c>
      <c r="H889"/>
      <c r="I889">
        <v>4500</v>
      </c>
      <c r="J889">
        <v>6.9</v>
      </c>
      <c r="K889">
        <v>18</v>
      </c>
      <c r="L889" t="s">
        <v>38</v>
      </c>
      <c r="M889" t="s">
        <v>18</v>
      </c>
      <c r="N889" t="s">
        <v>23</v>
      </c>
      <c r="O889">
        <v>4.8</v>
      </c>
      <c r="P889" t="s">
        <v>64</v>
      </c>
      <c r="Q889">
        <v>2025</v>
      </c>
    </row>
    <row r="890" spans="1:17" hidden="1" x14ac:dyDescent="0.3">
      <c r="A890" t="s">
        <v>15</v>
      </c>
      <c r="B890" t="s">
        <v>464</v>
      </c>
      <c r="C890">
        <v>711</v>
      </c>
      <c r="D890">
        <v>16</v>
      </c>
      <c r="E890"/>
      <c r="F890">
        <v>1024</v>
      </c>
      <c r="G890">
        <v>200</v>
      </c>
      <c r="H890"/>
      <c r="I890">
        <v>4500</v>
      </c>
      <c r="J890">
        <v>6.6</v>
      </c>
      <c r="K890">
        <v>120</v>
      </c>
      <c r="L890" t="s">
        <v>17</v>
      </c>
      <c r="M890" t="s">
        <v>18</v>
      </c>
      <c r="N890" t="s">
        <v>48</v>
      </c>
      <c r="O890">
        <v>4.8</v>
      </c>
      <c r="P890" t="s">
        <v>46</v>
      </c>
      <c r="Q890">
        <v>2025</v>
      </c>
    </row>
    <row r="891" spans="1:17" hidden="1" x14ac:dyDescent="0.3">
      <c r="A891" t="s">
        <v>25</v>
      </c>
      <c r="B891" t="s">
        <v>570</v>
      </c>
      <c r="C891">
        <v>1363</v>
      </c>
      <c r="D891">
        <v>16</v>
      </c>
      <c r="E891"/>
      <c r="F891">
        <v>1024</v>
      </c>
      <c r="G891">
        <v>50</v>
      </c>
      <c r="H891"/>
      <c r="I891">
        <v>4000</v>
      </c>
      <c r="J891">
        <v>6.7</v>
      </c>
      <c r="K891">
        <v>100</v>
      </c>
      <c r="L891" t="s">
        <v>38</v>
      </c>
      <c r="M891" t="s">
        <v>18</v>
      </c>
      <c r="N891" t="s">
        <v>51</v>
      </c>
      <c r="O891">
        <v>4.8</v>
      </c>
      <c r="P891" t="s">
        <v>20</v>
      </c>
      <c r="Q891">
        <v>2025</v>
      </c>
    </row>
    <row r="892" spans="1:17" hidden="1" x14ac:dyDescent="0.3">
      <c r="A892" t="s">
        <v>66</v>
      </c>
      <c r="B892" t="s">
        <v>589</v>
      </c>
      <c r="C892">
        <v>670</v>
      </c>
      <c r="D892">
        <v>16</v>
      </c>
      <c r="E892" s="8">
        <f>C892/D892</f>
        <v>41.875</v>
      </c>
      <c r="F892">
        <v>64</v>
      </c>
      <c r="G892">
        <v>64</v>
      </c>
      <c r="H892" s="8">
        <f>C892/G892</f>
        <v>10.46875</v>
      </c>
      <c r="I892">
        <v>5500</v>
      </c>
      <c r="J892">
        <v>6.1</v>
      </c>
      <c r="K892">
        <v>120</v>
      </c>
      <c r="L892" t="s">
        <v>17</v>
      </c>
      <c r="M892" t="s">
        <v>18</v>
      </c>
      <c r="N892" t="s">
        <v>51</v>
      </c>
      <c r="O892">
        <v>4.8</v>
      </c>
      <c r="P892" t="s">
        <v>20</v>
      </c>
      <c r="Q892">
        <v>2025</v>
      </c>
    </row>
    <row r="893" spans="1:17" hidden="1" x14ac:dyDescent="0.3">
      <c r="A893" t="s">
        <v>25</v>
      </c>
      <c r="B893" t="s">
        <v>655</v>
      </c>
      <c r="C893">
        <v>951</v>
      </c>
      <c r="D893">
        <v>16</v>
      </c>
      <c r="E893"/>
      <c r="F893">
        <v>256</v>
      </c>
      <c r="G893">
        <v>108</v>
      </c>
      <c r="H893"/>
      <c r="I893">
        <v>4000</v>
      </c>
      <c r="J893">
        <v>6</v>
      </c>
      <c r="K893">
        <v>44</v>
      </c>
      <c r="L893" t="s">
        <v>38</v>
      </c>
      <c r="M893" t="s">
        <v>18</v>
      </c>
      <c r="N893" t="s">
        <v>48</v>
      </c>
      <c r="O893">
        <v>4.8</v>
      </c>
      <c r="P893" t="s">
        <v>39</v>
      </c>
      <c r="Q893">
        <v>2025</v>
      </c>
    </row>
    <row r="894" spans="1:17" hidden="1" x14ac:dyDescent="0.3">
      <c r="A894" t="s">
        <v>49</v>
      </c>
      <c r="B894" t="s">
        <v>770</v>
      </c>
      <c r="C894">
        <v>655</v>
      </c>
      <c r="D894">
        <v>16</v>
      </c>
      <c r="E894"/>
      <c r="F894">
        <v>128</v>
      </c>
      <c r="G894">
        <v>64</v>
      </c>
      <c r="H894"/>
      <c r="I894">
        <v>5000</v>
      </c>
      <c r="J894">
        <v>6.9</v>
      </c>
      <c r="K894">
        <v>33</v>
      </c>
      <c r="L894" t="s">
        <v>38</v>
      </c>
      <c r="M894" t="s">
        <v>18</v>
      </c>
      <c r="N894" t="s">
        <v>51</v>
      </c>
      <c r="O894">
        <v>4.8</v>
      </c>
      <c r="P894" t="s">
        <v>54</v>
      </c>
      <c r="Q894">
        <v>2025</v>
      </c>
    </row>
    <row r="895" spans="1:17" hidden="1" x14ac:dyDescent="0.3">
      <c r="A895" t="s">
        <v>49</v>
      </c>
      <c r="B895" t="s">
        <v>919</v>
      </c>
      <c r="C895">
        <v>886</v>
      </c>
      <c r="D895">
        <v>16</v>
      </c>
      <c r="E895"/>
      <c r="F895">
        <v>256</v>
      </c>
      <c r="G895">
        <v>64</v>
      </c>
      <c r="H895"/>
      <c r="I895">
        <v>6000</v>
      </c>
      <c r="J895">
        <v>7.1</v>
      </c>
      <c r="K895">
        <v>44</v>
      </c>
      <c r="L895" t="s">
        <v>38</v>
      </c>
      <c r="M895" t="s">
        <v>18</v>
      </c>
      <c r="N895" t="s">
        <v>51</v>
      </c>
      <c r="O895">
        <v>4.8</v>
      </c>
      <c r="P895" t="s">
        <v>71</v>
      </c>
      <c r="Q895">
        <v>2025</v>
      </c>
    </row>
    <row r="896" spans="1:17" hidden="1" x14ac:dyDescent="0.3">
      <c r="A896" t="s">
        <v>25</v>
      </c>
      <c r="B896" t="s">
        <v>234</v>
      </c>
      <c r="C896">
        <v>105</v>
      </c>
      <c r="D896">
        <v>12</v>
      </c>
      <c r="E896" s="8">
        <f>C896/D896</f>
        <v>8.75</v>
      </c>
      <c r="F896">
        <v>64</v>
      </c>
      <c r="G896">
        <v>12</v>
      </c>
      <c r="H896" s="8">
        <f>C896/G896</f>
        <v>8.75</v>
      </c>
      <c r="I896">
        <v>5000</v>
      </c>
      <c r="J896">
        <v>6.4</v>
      </c>
      <c r="K896">
        <v>120</v>
      </c>
      <c r="L896" t="s">
        <v>17</v>
      </c>
      <c r="M896" t="s">
        <v>18</v>
      </c>
      <c r="N896" t="s">
        <v>19</v>
      </c>
      <c r="O896">
        <v>4.8</v>
      </c>
      <c r="P896" t="s">
        <v>42</v>
      </c>
      <c r="Q896">
        <v>2025</v>
      </c>
    </row>
    <row r="897" spans="1:17" hidden="1" x14ac:dyDescent="0.3">
      <c r="A897" t="s">
        <v>29</v>
      </c>
      <c r="B897" t="s">
        <v>1011</v>
      </c>
      <c r="C897">
        <v>389</v>
      </c>
      <c r="D897">
        <v>16</v>
      </c>
      <c r="E897"/>
      <c r="F897">
        <v>512</v>
      </c>
      <c r="G897">
        <v>200</v>
      </c>
      <c r="H897"/>
      <c r="I897">
        <v>4500</v>
      </c>
      <c r="J897">
        <v>6.2</v>
      </c>
      <c r="K897">
        <v>44</v>
      </c>
      <c r="L897" t="s">
        <v>38</v>
      </c>
      <c r="M897" t="s">
        <v>18</v>
      </c>
      <c r="N897" t="s">
        <v>51</v>
      </c>
      <c r="O897">
        <v>4.8</v>
      </c>
      <c r="P897" t="s">
        <v>39</v>
      </c>
      <c r="Q897">
        <v>2025</v>
      </c>
    </row>
    <row r="898" spans="1:17" hidden="1" x14ac:dyDescent="0.3">
      <c r="A898" t="s">
        <v>29</v>
      </c>
      <c r="B898" t="s">
        <v>1012</v>
      </c>
      <c r="C898">
        <v>537</v>
      </c>
      <c r="D898">
        <v>16</v>
      </c>
      <c r="E898"/>
      <c r="F898">
        <v>256</v>
      </c>
      <c r="G898">
        <v>50</v>
      </c>
      <c r="H898"/>
      <c r="I898">
        <v>4500</v>
      </c>
      <c r="J898">
        <v>6.7</v>
      </c>
      <c r="K898">
        <v>33</v>
      </c>
      <c r="L898" t="s">
        <v>17</v>
      </c>
      <c r="M898" t="s">
        <v>18</v>
      </c>
      <c r="N898" t="s">
        <v>31</v>
      </c>
      <c r="O898">
        <v>4.8</v>
      </c>
      <c r="P898" t="s">
        <v>44</v>
      </c>
      <c r="Q898">
        <v>2025</v>
      </c>
    </row>
    <row r="899" spans="1:17" hidden="1" x14ac:dyDescent="0.3">
      <c r="A899" t="s">
        <v>49</v>
      </c>
      <c r="B899" t="s">
        <v>90</v>
      </c>
      <c r="C899">
        <v>176</v>
      </c>
      <c r="D899">
        <v>4</v>
      </c>
      <c r="E899"/>
      <c r="F899">
        <v>128</v>
      </c>
      <c r="G899">
        <v>48</v>
      </c>
      <c r="H899"/>
      <c r="I899">
        <v>4500</v>
      </c>
      <c r="J899">
        <v>5.8</v>
      </c>
      <c r="K899">
        <v>18</v>
      </c>
      <c r="L899" t="s">
        <v>38</v>
      </c>
      <c r="M899" t="s">
        <v>18</v>
      </c>
      <c r="N899" t="s">
        <v>23</v>
      </c>
      <c r="O899">
        <v>4.9000000000000004</v>
      </c>
      <c r="P899" t="s">
        <v>28</v>
      </c>
      <c r="Q899">
        <v>2025</v>
      </c>
    </row>
    <row r="900" spans="1:17" hidden="1" x14ac:dyDescent="0.3">
      <c r="A900" t="s">
        <v>25</v>
      </c>
      <c r="B900" t="s">
        <v>271</v>
      </c>
      <c r="C900">
        <v>342</v>
      </c>
      <c r="D900">
        <v>4</v>
      </c>
      <c r="E900"/>
      <c r="F900">
        <v>512</v>
      </c>
      <c r="G900">
        <v>48</v>
      </c>
      <c r="H900"/>
      <c r="I900">
        <v>5000</v>
      </c>
      <c r="J900">
        <v>5.5</v>
      </c>
      <c r="K900">
        <v>120</v>
      </c>
      <c r="L900" t="s">
        <v>17</v>
      </c>
      <c r="M900" t="s">
        <v>18</v>
      </c>
      <c r="N900" t="s">
        <v>19</v>
      </c>
      <c r="O900">
        <v>4.9000000000000004</v>
      </c>
      <c r="P900" t="s">
        <v>24</v>
      </c>
      <c r="Q900">
        <v>2025</v>
      </c>
    </row>
    <row r="901" spans="1:17" hidden="1" x14ac:dyDescent="0.3">
      <c r="A901" t="s">
        <v>32</v>
      </c>
      <c r="B901" t="s">
        <v>683</v>
      </c>
      <c r="C901">
        <v>170</v>
      </c>
      <c r="D901">
        <v>6</v>
      </c>
      <c r="E901" s="8">
        <f>C901/D901</f>
        <v>28.333333333333332</v>
      </c>
      <c r="F901">
        <v>512</v>
      </c>
      <c r="G901">
        <v>48</v>
      </c>
      <c r="H901" s="8">
        <f>C901/G901</f>
        <v>3.5416666666666665</v>
      </c>
      <c r="I901">
        <v>5500</v>
      </c>
      <c r="J901">
        <v>6.6</v>
      </c>
      <c r="K901">
        <v>18</v>
      </c>
      <c r="L901" t="s">
        <v>17</v>
      </c>
      <c r="M901" t="s">
        <v>34</v>
      </c>
      <c r="N901" t="s">
        <v>31</v>
      </c>
      <c r="O901">
        <v>4.9000000000000004</v>
      </c>
      <c r="P901" t="s">
        <v>54</v>
      </c>
      <c r="Q901">
        <v>2025</v>
      </c>
    </row>
    <row r="902" spans="1:17" hidden="1" x14ac:dyDescent="0.3">
      <c r="A902" t="s">
        <v>25</v>
      </c>
      <c r="B902" t="s">
        <v>405</v>
      </c>
      <c r="C902">
        <v>254</v>
      </c>
      <c r="D902">
        <v>4</v>
      </c>
      <c r="E902"/>
      <c r="F902">
        <v>64</v>
      </c>
      <c r="G902">
        <v>48</v>
      </c>
      <c r="H902"/>
      <c r="I902">
        <v>6000</v>
      </c>
      <c r="J902">
        <v>6.7</v>
      </c>
      <c r="K902">
        <v>33</v>
      </c>
      <c r="L902" t="s">
        <v>38</v>
      </c>
      <c r="M902" t="s">
        <v>18</v>
      </c>
      <c r="N902" t="s">
        <v>27</v>
      </c>
      <c r="O902">
        <v>4.9000000000000004</v>
      </c>
      <c r="P902" t="s">
        <v>28</v>
      </c>
      <c r="Q902">
        <v>2025</v>
      </c>
    </row>
    <row r="903" spans="1:17" hidden="1" x14ac:dyDescent="0.3">
      <c r="A903" t="s">
        <v>29</v>
      </c>
      <c r="B903" t="s">
        <v>548</v>
      </c>
      <c r="C903">
        <v>488</v>
      </c>
      <c r="D903">
        <v>4</v>
      </c>
      <c r="E903"/>
      <c r="F903">
        <v>512</v>
      </c>
      <c r="G903">
        <v>48</v>
      </c>
      <c r="H903"/>
      <c r="I903">
        <v>5500</v>
      </c>
      <c r="J903">
        <v>5.8</v>
      </c>
      <c r="K903">
        <v>44</v>
      </c>
      <c r="L903" t="s">
        <v>38</v>
      </c>
      <c r="M903" t="s">
        <v>18</v>
      </c>
      <c r="N903" t="s">
        <v>35</v>
      </c>
      <c r="O903">
        <v>4.9000000000000004</v>
      </c>
      <c r="P903" t="s">
        <v>42</v>
      </c>
      <c r="Q903">
        <v>2025</v>
      </c>
    </row>
    <row r="904" spans="1:17" hidden="1" x14ac:dyDescent="0.3">
      <c r="A904" t="s">
        <v>32</v>
      </c>
      <c r="B904" t="s">
        <v>587</v>
      </c>
      <c r="C904">
        <v>715</v>
      </c>
      <c r="D904">
        <v>4</v>
      </c>
      <c r="E904"/>
      <c r="F904">
        <v>128</v>
      </c>
      <c r="G904">
        <v>200</v>
      </c>
      <c r="H904"/>
      <c r="I904">
        <v>4000</v>
      </c>
      <c r="J904">
        <v>6.1</v>
      </c>
      <c r="K904">
        <v>100</v>
      </c>
      <c r="L904" t="s">
        <v>17</v>
      </c>
      <c r="M904" t="s">
        <v>34</v>
      </c>
      <c r="N904" t="s">
        <v>31</v>
      </c>
      <c r="O904">
        <v>4.9000000000000004</v>
      </c>
      <c r="P904" t="s">
        <v>39</v>
      </c>
      <c r="Q904">
        <v>2025</v>
      </c>
    </row>
    <row r="905" spans="1:17" hidden="1" x14ac:dyDescent="0.3">
      <c r="A905" t="s">
        <v>49</v>
      </c>
      <c r="B905" t="s">
        <v>685</v>
      </c>
      <c r="C905">
        <v>419</v>
      </c>
      <c r="D905">
        <v>4</v>
      </c>
      <c r="E905"/>
      <c r="F905">
        <v>128</v>
      </c>
      <c r="G905">
        <v>64</v>
      </c>
      <c r="H905"/>
      <c r="I905">
        <v>6000</v>
      </c>
      <c r="J905">
        <v>7.1</v>
      </c>
      <c r="K905">
        <v>65</v>
      </c>
      <c r="L905" t="s">
        <v>17</v>
      </c>
      <c r="M905" t="s">
        <v>18</v>
      </c>
      <c r="N905" t="s">
        <v>23</v>
      </c>
      <c r="O905">
        <v>4.9000000000000004</v>
      </c>
      <c r="P905" t="s">
        <v>42</v>
      </c>
      <c r="Q905">
        <v>2025</v>
      </c>
    </row>
    <row r="906" spans="1:17" hidden="1" x14ac:dyDescent="0.3">
      <c r="A906" t="s">
        <v>36</v>
      </c>
      <c r="B906" t="s">
        <v>714</v>
      </c>
      <c r="C906">
        <v>1283</v>
      </c>
      <c r="D906">
        <v>4</v>
      </c>
      <c r="E906"/>
      <c r="F906">
        <v>64</v>
      </c>
      <c r="G906">
        <v>200</v>
      </c>
      <c r="H906"/>
      <c r="I906">
        <v>5500</v>
      </c>
      <c r="J906">
        <v>7</v>
      </c>
      <c r="K906">
        <v>33</v>
      </c>
      <c r="L906" t="s">
        <v>38</v>
      </c>
      <c r="M906" t="s">
        <v>18</v>
      </c>
      <c r="N906" t="s">
        <v>19</v>
      </c>
      <c r="O906">
        <v>4.9000000000000004</v>
      </c>
      <c r="P906" t="s">
        <v>20</v>
      </c>
      <c r="Q906">
        <v>2025</v>
      </c>
    </row>
    <row r="907" spans="1:17" hidden="1" x14ac:dyDescent="0.3">
      <c r="A907" t="s">
        <v>25</v>
      </c>
      <c r="B907" t="s">
        <v>753</v>
      </c>
      <c r="C907">
        <v>928</v>
      </c>
      <c r="D907">
        <v>4</v>
      </c>
      <c r="E907"/>
      <c r="F907">
        <v>512</v>
      </c>
      <c r="G907">
        <v>200</v>
      </c>
      <c r="H907"/>
      <c r="I907">
        <v>4500</v>
      </c>
      <c r="J907">
        <v>6.8</v>
      </c>
      <c r="K907">
        <v>120</v>
      </c>
      <c r="L907" t="s">
        <v>17</v>
      </c>
      <c r="M907" t="s">
        <v>18</v>
      </c>
      <c r="N907" t="s">
        <v>19</v>
      </c>
      <c r="O907">
        <v>4.9000000000000004</v>
      </c>
      <c r="P907" t="s">
        <v>46</v>
      </c>
      <c r="Q907">
        <v>2025</v>
      </c>
    </row>
    <row r="908" spans="1:17" hidden="1" x14ac:dyDescent="0.3">
      <c r="A908" t="s">
        <v>21</v>
      </c>
      <c r="B908" t="s">
        <v>912</v>
      </c>
      <c r="C908">
        <v>1385</v>
      </c>
      <c r="D908">
        <v>4</v>
      </c>
      <c r="E908"/>
      <c r="F908">
        <v>64</v>
      </c>
      <c r="G908">
        <v>64</v>
      </c>
      <c r="H908"/>
      <c r="I908">
        <v>5000</v>
      </c>
      <c r="J908">
        <v>6.8</v>
      </c>
      <c r="K908">
        <v>100</v>
      </c>
      <c r="L908" t="s">
        <v>17</v>
      </c>
      <c r="M908" t="s">
        <v>18</v>
      </c>
      <c r="N908" t="s">
        <v>61</v>
      </c>
      <c r="O908">
        <v>4.9000000000000004</v>
      </c>
      <c r="P908" t="s">
        <v>24</v>
      </c>
      <c r="Q908">
        <v>2025</v>
      </c>
    </row>
    <row r="909" spans="1:17" hidden="1" x14ac:dyDescent="0.3">
      <c r="A909" t="s">
        <v>29</v>
      </c>
      <c r="B909" t="s">
        <v>78</v>
      </c>
      <c r="C909">
        <v>1387</v>
      </c>
      <c r="D909">
        <v>6</v>
      </c>
      <c r="E909"/>
      <c r="F909">
        <v>1024</v>
      </c>
      <c r="G909">
        <v>108</v>
      </c>
      <c r="H909"/>
      <c r="I909">
        <v>4000</v>
      </c>
      <c r="J909">
        <v>6.5</v>
      </c>
      <c r="K909">
        <v>65</v>
      </c>
      <c r="L909" t="s">
        <v>38</v>
      </c>
      <c r="M909" t="s">
        <v>18</v>
      </c>
      <c r="N909" t="s">
        <v>48</v>
      </c>
      <c r="O909">
        <v>4.9000000000000004</v>
      </c>
      <c r="P909" t="s">
        <v>64</v>
      </c>
      <c r="Q909">
        <v>2025</v>
      </c>
    </row>
    <row r="910" spans="1:17" hidden="1" x14ac:dyDescent="0.3">
      <c r="A910" t="s">
        <v>49</v>
      </c>
      <c r="B910" t="s">
        <v>164</v>
      </c>
      <c r="C910">
        <v>385</v>
      </c>
      <c r="D910">
        <v>6</v>
      </c>
      <c r="E910"/>
      <c r="F910">
        <v>64</v>
      </c>
      <c r="G910">
        <v>48</v>
      </c>
      <c r="H910"/>
      <c r="I910">
        <v>6000</v>
      </c>
      <c r="J910">
        <v>6</v>
      </c>
      <c r="K910">
        <v>18</v>
      </c>
      <c r="L910" t="s">
        <v>38</v>
      </c>
      <c r="M910" t="s">
        <v>18</v>
      </c>
      <c r="N910" t="s">
        <v>27</v>
      </c>
      <c r="O910">
        <v>4.9000000000000004</v>
      </c>
      <c r="P910" t="s">
        <v>64</v>
      </c>
      <c r="Q910">
        <v>2025</v>
      </c>
    </row>
    <row r="911" spans="1:17" hidden="1" x14ac:dyDescent="0.3">
      <c r="A911" t="s">
        <v>49</v>
      </c>
      <c r="B911" t="s">
        <v>276</v>
      </c>
      <c r="C911">
        <v>1095</v>
      </c>
      <c r="D911">
        <v>12</v>
      </c>
      <c r="E911" s="8">
        <f t="shared" ref="E911:E912" si="88">C911/D911</f>
        <v>91.25</v>
      </c>
      <c r="F911">
        <v>1024</v>
      </c>
      <c r="G911">
        <v>108</v>
      </c>
      <c r="H911" s="8">
        <f t="shared" ref="H911:H912" si="89">C911/G911</f>
        <v>10.138888888888889</v>
      </c>
      <c r="I911">
        <v>5500</v>
      </c>
      <c r="J911">
        <v>7.1</v>
      </c>
      <c r="K911">
        <v>18</v>
      </c>
      <c r="L911" t="s">
        <v>17</v>
      </c>
      <c r="M911" t="s">
        <v>18</v>
      </c>
      <c r="N911" t="s">
        <v>35</v>
      </c>
      <c r="O911">
        <v>4.9000000000000004</v>
      </c>
      <c r="P911" t="s">
        <v>28</v>
      </c>
      <c r="Q911">
        <v>2025</v>
      </c>
    </row>
    <row r="912" spans="1:17" hidden="1" x14ac:dyDescent="0.3">
      <c r="A912" t="s">
        <v>25</v>
      </c>
      <c r="B912" t="s">
        <v>909</v>
      </c>
      <c r="C912">
        <v>670</v>
      </c>
      <c r="D912">
        <v>12</v>
      </c>
      <c r="E912" s="8">
        <f t="shared" si="88"/>
        <v>55.833333333333336</v>
      </c>
      <c r="F912">
        <v>1024</v>
      </c>
      <c r="G912">
        <v>48</v>
      </c>
      <c r="H912" s="8">
        <f t="shared" si="89"/>
        <v>13.958333333333334</v>
      </c>
      <c r="I912">
        <v>5500</v>
      </c>
      <c r="J912">
        <v>5.7</v>
      </c>
      <c r="K912">
        <v>33</v>
      </c>
      <c r="L912" t="s">
        <v>17</v>
      </c>
      <c r="M912" t="s">
        <v>18</v>
      </c>
      <c r="N912" t="s">
        <v>35</v>
      </c>
      <c r="O912">
        <v>4.9000000000000004</v>
      </c>
      <c r="P912" t="s">
        <v>28</v>
      </c>
      <c r="Q912">
        <v>2025</v>
      </c>
    </row>
    <row r="913" spans="1:17" hidden="1" x14ac:dyDescent="0.3">
      <c r="A913" t="s">
        <v>29</v>
      </c>
      <c r="B913" t="s">
        <v>571</v>
      </c>
      <c r="C913">
        <v>1495</v>
      </c>
      <c r="D913">
        <v>6</v>
      </c>
      <c r="E913"/>
      <c r="F913">
        <v>64</v>
      </c>
      <c r="G913">
        <v>64</v>
      </c>
      <c r="H913"/>
      <c r="I913">
        <v>5000</v>
      </c>
      <c r="J913">
        <v>5.6</v>
      </c>
      <c r="K913">
        <v>18</v>
      </c>
      <c r="L913" t="s">
        <v>17</v>
      </c>
      <c r="M913" t="s">
        <v>18</v>
      </c>
      <c r="N913" t="s">
        <v>51</v>
      </c>
      <c r="O913">
        <v>4.9000000000000004</v>
      </c>
      <c r="P913" t="s">
        <v>42</v>
      </c>
      <c r="Q913">
        <v>2025</v>
      </c>
    </row>
    <row r="914" spans="1:17" hidden="1" x14ac:dyDescent="0.3">
      <c r="A914" t="s">
        <v>49</v>
      </c>
      <c r="B914" t="s">
        <v>574</v>
      </c>
      <c r="C914">
        <v>729</v>
      </c>
      <c r="D914">
        <v>6</v>
      </c>
      <c r="E914"/>
      <c r="F914">
        <v>128</v>
      </c>
      <c r="G914">
        <v>12</v>
      </c>
      <c r="H914"/>
      <c r="I914">
        <v>5500</v>
      </c>
      <c r="J914">
        <v>7.1</v>
      </c>
      <c r="K914">
        <v>65</v>
      </c>
      <c r="L914" t="s">
        <v>17</v>
      </c>
      <c r="M914" t="s">
        <v>18</v>
      </c>
      <c r="N914" t="s">
        <v>19</v>
      </c>
      <c r="O914">
        <v>4.9000000000000004</v>
      </c>
      <c r="P914" t="s">
        <v>46</v>
      </c>
      <c r="Q914">
        <v>2025</v>
      </c>
    </row>
    <row r="915" spans="1:17" hidden="1" x14ac:dyDescent="0.3">
      <c r="A915" t="s">
        <v>40</v>
      </c>
      <c r="B915" t="s">
        <v>608</v>
      </c>
      <c r="C915">
        <v>736</v>
      </c>
      <c r="D915">
        <v>6</v>
      </c>
      <c r="E915"/>
      <c r="F915">
        <v>256</v>
      </c>
      <c r="G915">
        <v>50</v>
      </c>
      <c r="H915"/>
      <c r="I915">
        <v>6000</v>
      </c>
      <c r="J915">
        <v>6</v>
      </c>
      <c r="K915">
        <v>100</v>
      </c>
      <c r="L915" t="s">
        <v>38</v>
      </c>
      <c r="M915" t="s">
        <v>18</v>
      </c>
      <c r="N915" t="s">
        <v>19</v>
      </c>
      <c r="O915">
        <v>4.9000000000000004</v>
      </c>
      <c r="P915" t="s">
        <v>42</v>
      </c>
      <c r="Q915">
        <v>2025</v>
      </c>
    </row>
    <row r="916" spans="1:17" hidden="1" x14ac:dyDescent="0.3">
      <c r="A916" t="s">
        <v>66</v>
      </c>
      <c r="B916" t="s">
        <v>915</v>
      </c>
      <c r="C916">
        <v>890</v>
      </c>
      <c r="D916">
        <v>16</v>
      </c>
      <c r="E916" s="8">
        <f>C916/D916</f>
        <v>55.625</v>
      </c>
      <c r="F916">
        <v>512</v>
      </c>
      <c r="G916">
        <v>108</v>
      </c>
      <c r="H916" s="8">
        <f>C916/G916</f>
        <v>8.2407407407407405</v>
      </c>
      <c r="I916">
        <v>5000</v>
      </c>
      <c r="J916">
        <v>6.2</v>
      </c>
      <c r="K916">
        <v>33</v>
      </c>
      <c r="L916" t="s">
        <v>17</v>
      </c>
      <c r="M916" t="s">
        <v>18</v>
      </c>
      <c r="N916" t="s">
        <v>31</v>
      </c>
      <c r="O916">
        <v>4.9000000000000004</v>
      </c>
      <c r="P916" t="s">
        <v>42</v>
      </c>
      <c r="Q916">
        <v>2025</v>
      </c>
    </row>
    <row r="917" spans="1:17" hidden="1" x14ac:dyDescent="0.3">
      <c r="A917" t="s">
        <v>49</v>
      </c>
      <c r="B917" t="s">
        <v>862</v>
      </c>
      <c r="C917">
        <v>1138</v>
      </c>
      <c r="D917">
        <v>6</v>
      </c>
      <c r="E917"/>
      <c r="F917">
        <v>512</v>
      </c>
      <c r="G917">
        <v>64</v>
      </c>
      <c r="H917"/>
      <c r="I917">
        <v>5000</v>
      </c>
      <c r="J917">
        <v>6.1</v>
      </c>
      <c r="K917">
        <v>44</v>
      </c>
      <c r="L917" t="s">
        <v>17</v>
      </c>
      <c r="M917" t="s">
        <v>18</v>
      </c>
      <c r="N917" t="s">
        <v>31</v>
      </c>
      <c r="O917">
        <v>4.9000000000000004</v>
      </c>
      <c r="P917" t="s">
        <v>82</v>
      </c>
      <c r="Q917">
        <v>2025</v>
      </c>
    </row>
    <row r="918" spans="1:17" hidden="1" x14ac:dyDescent="0.3">
      <c r="A918" t="s">
        <v>29</v>
      </c>
      <c r="B918" t="s">
        <v>948</v>
      </c>
      <c r="C918">
        <v>732</v>
      </c>
      <c r="D918">
        <v>6</v>
      </c>
      <c r="E918"/>
      <c r="F918">
        <v>64</v>
      </c>
      <c r="G918">
        <v>50</v>
      </c>
      <c r="H918"/>
      <c r="I918">
        <v>6000</v>
      </c>
      <c r="J918">
        <v>7.1</v>
      </c>
      <c r="K918">
        <v>65</v>
      </c>
      <c r="L918" t="s">
        <v>17</v>
      </c>
      <c r="M918" t="s">
        <v>18</v>
      </c>
      <c r="N918" t="s">
        <v>35</v>
      </c>
      <c r="O918">
        <v>4.9000000000000004</v>
      </c>
      <c r="P918" t="s">
        <v>24</v>
      </c>
      <c r="Q918">
        <v>2025</v>
      </c>
    </row>
    <row r="919" spans="1:17" hidden="1" x14ac:dyDescent="0.3">
      <c r="A919" t="s">
        <v>32</v>
      </c>
      <c r="B919" t="s">
        <v>959</v>
      </c>
      <c r="C919">
        <v>442</v>
      </c>
      <c r="D919">
        <v>6</v>
      </c>
      <c r="E919"/>
      <c r="F919">
        <v>256</v>
      </c>
      <c r="G919">
        <v>108</v>
      </c>
      <c r="H919"/>
      <c r="I919">
        <v>5500</v>
      </c>
      <c r="J919">
        <v>5.8</v>
      </c>
      <c r="K919">
        <v>33</v>
      </c>
      <c r="L919" t="s">
        <v>38</v>
      </c>
      <c r="M919" t="s">
        <v>34</v>
      </c>
      <c r="N919" t="s">
        <v>23</v>
      </c>
      <c r="O919">
        <v>4.9000000000000004</v>
      </c>
      <c r="P919" t="s">
        <v>42</v>
      </c>
      <c r="Q919">
        <v>2025</v>
      </c>
    </row>
    <row r="920" spans="1:17" hidden="1" x14ac:dyDescent="0.3">
      <c r="A920" t="s">
        <v>25</v>
      </c>
      <c r="B920" t="s">
        <v>970</v>
      </c>
      <c r="C920">
        <v>1399</v>
      </c>
      <c r="D920">
        <v>6</v>
      </c>
      <c r="E920"/>
      <c r="F920">
        <v>128</v>
      </c>
      <c r="G920">
        <v>50</v>
      </c>
      <c r="H920"/>
      <c r="I920">
        <v>4500</v>
      </c>
      <c r="J920">
        <v>5.9</v>
      </c>
      <c r="K920">
        <v>120</v>
      </c>
      <c r="L920" t="s">
        <v>17</v>
      </c>
      <c r="M920" t="s">
        <v>18</v>
      </c>
      <c r="N920" t="s">
        <v>48</v>
      </c>
      <c r="O920">
        <v>4.9000000000000004</v>
      </c>
      <c r="P920" t="s">
        <v>46</v>
      </c>
      <c r="Q920">
        <v>2025</v>
      </c>
    </row>
    <row r="921" spans="1:17" hidden="1" x14ac:dyDescent="0.3">
      <c r="A921" t="s">
        <v>29</v>
      </c>
      <c r="B921" t="s">
        <v>53</v>
      </c>
      <c r="C921">
        <v>223</v>
      </c>
      <c r="D921">
        <v>8</v>
      </c>
      <c r="E921"/>
      <c r="F921">
        <v>512</v>
      </c>
      <c r="G921">
        <v>200</v>
      </c>
      <c r="H921"/>
      <c r="I921">
        <v>5500</v>
      </c>
      <c r="J921">
        <v>6.3</v>
      </c>
      <c r="K921">
        <v>18</v>
      </c>
      <c r="L921" t="s">
        <v>17</v>
      </c>
      <c r="M921" t="s">
        <v>18</v>
      </c>
      <c r="N921" t="s">
        <v>19</v>
      </c>
      <c r="O921">
        <v>4.9000000000000004</v>
      </c>
      <c r="P921" t="s">
        <v>54</v>
      </c>
      <c r="Q921">
        <v>2025</v>
      </c>
    </row>
    <row r="922" spans="1:17" hidden="1" x14ac:dyDescent="0.3">
      <c r="A922" t="s">
        <v>40</v>
      </c>
      <c r="B922" t="s">
        <v>131</v>
      </c>
      <c r="C922">
        <v>637</v>
      </c>
      <c r="D922">
        <v>8</v>
      </c>
      <c r="E922"/>
      <c r="F922">
        <v>512</v>
      </c>
      <c r="G922">
        <v>200</v>
      </c>
      <c r="H922"/>
      <c r="I922">
        <v>5000</v>
      </c>
      <c r="J922">
        <v>5.6</v>
      </c>
      <c r="K922">
        <v>65</v>
      </c>
      <c r="L922" t="s">
        <v>38</v>
      </c>
      <c r="M922" t="s">
        <v>18</v>
      </c>
      <c r="N922" t="s">
        <v>61</v>
      </c>
      <c r="O922">
        <v>4.9000000000000004</v>
      </c>
      <c r="P922" t="s">
        <v>54</v>
      </c>
      <c r="Q922">
        <v>2025</v>
      </c>
    </row>
    <row r="923" spans="1:17" hidden="1" x14ac:dyDescent="0.3">
      <c r="A923" t="s">
        <v>36</v>
      </c>
      <c r="B923" t="s">
        <v>212</v>
      </c>
      <c r="C923">
        <v>1238</v>
      </c>
      <c r="D923">
        <v>8</v>
      </c>
      <c r="E923"/>
      <c r="F923">
        <v>1024</v>
      </c>
      <c r="G923">
        <v>64</v>
      </c>
      <c r="H923"/>
      <c r="I923">
        <v>5000</v>
      </c>
      <c r="J923">
        <v>7.2</v>
      </c>
      <c r="K923">
        <v>120</v>
      </c>
      <c r="L923" t="s">
        <v>17</v>
      </c>
      <c r="M923" t="s">
        <v>18</v>
      </c>
      <c r="N923" t="s">
        <v>61</v>
      </c>
      <c r="O923">
        <v>4.9000000000000004</v>
      </c>
      <c r="P923" t="s">
        <v>39</v>
      </c>
      <c r="Q923">
        <v>2025</v>
      </c>
    </row>
    <row r="924" spans="1:17" hidden="1" x14ac:dyDescent="0.3">
      <c r="A924" t="s">
        <v>32</v>
      </c>
      <c r="B924" t="s">
        <v>249</v>
      </c>
      <c r="C924">
        <v>186</v>
      </c>
      <c r="D924">
        <v>8</v>
      </c>
      <c r="E924"/>
      <c r="F924">
        <v>128</v>
      </c>
      <c r="G924">
        <v>64</v>
      </c>
      <c r="H924"/>
      <c r="I924">
        <v>5500</v>
      </c>
      <c r="J924">
        <v>6.1</v>
      </c>
      <c r="K924">
        <v>120</v>
      </c>
      <c r="L924" t="s">
        <v>17</v>
      </c>
      <c r="M924" t="s">
        <v>34</v>
      </c>
      <c r="N924" t="s">
        <v>61</v>
      </c>
      <c r="O924">
        <v>4.9000000000000004</v>
      </c>
      <c r="P924" t="s">
        <v>54</v>
      </c>
      <c r="Q924">
        <v>2025</v>
      </c>
    </row>
    <row r="925" spans="1:17" hidden="1" x14ac:dyDescent="0.3">
      <c r="A925" t="s">
        <v>29</v>
      </c>
      <c r="B925" t="s">
        <v>250</v>
      </c>
      <c r="C925">
        <v>622</v>
      </c>
      <c r="D925">
        <v>8</v>
      </c>
      <c r="E925"/>
      <c r="F925">
        <v>64</v>
      </c>
      <c r="G925">
        <v>200</v>
      </c>
      <c r="H925"/>
      <c r="I925">
        <v>4000</v>
      </c>
      <c r="J925">
        <v>7.2</v>
      </c>
      <c r="K925">
        <v>18</v>
      </c>
      <c r="L925" t="s">
        <v>17</v>
      </c>
      <c r="M925" t="s">
        <v>18</v>
      </c>
      <c r="N925" t="s">
        <v>27</v>
      </c>
      <c r="O925">
        <v>4.9000000000000004</v>
      </c>
      <c r="P925" t="s">
        <v>44</v>
      </c>
      <c r="Q925">
        <v>2025</v>
      </c>
    </row>
    <row r="926" spans="1:17" hidden="1" x14ac:dyDescent="0.3">
      <c r="A926" t="s">
        <v>21</v>
      </c>
      <c r="B926" t="s">
        <v>286</v>
      </c>
      <c r="C926">
        <v>1332</v>
      </c>
      <c r="D926">
        <v>8</v>
      </c>
      <c r="E926"/>
      <c r="F926">
        <v>128</v>
      </c>
      <c r="G926">
        <v>48</v>
      </c>
      <c r="H926"/>
      <c r="I926">
        <v>5500</v>
      </c>
      <c r="J926">
        <v>6.3</v>
      </c>
      <c r="K926">
        <v>44</v>
      </c>
      <c r="L926" t="s">
        <v>38</v>
      </c>
      <c r="M926" t="s">
        <v>18</v>
      </c>
      <c r="N926" t="s">
        <v>23</v>
      </c>
      <c r="O926">
        <v>4.9000000000000004</v>
      </c>
      <c r="P926" t="s">
        <v>42</v>
      </c>
      <c r="Q926">
        <v>2025</v>
      </c>
    </row>
    <row r="927" spans="1:17" hidden="1" x14ac:dyDescent="0.3">
      <c r="A927" t="s">
        <v>25</v>
      </c>
      <c r="B927" t="s">
        <v>382</v>
      </c>
      <c r="C927">
        <v>1356</v>
      </c>
      <c r="D927">
        <v>8</v>
      </c>
      <c r="E927"/>
      <c r="F927">
        <v>1024</v>
      </c>
      <c r="G927">
        <v>50</v>
      </c>
      <c r="H927"/>
      <c r="I927">
        <v>5000</v>
      </c>
      <c r="J927">
        <v>6.6</v>
      </c>
      <c r="K927">
        <v>100</v>
      </c>
      <c r="L927" t="s">
        <v>38</v>
      </c>
      <c r="M927" t="s">
        <v>18</v>
      </c>
      <c r="N927" t="s">
        <v>51</v>
      </c>
      <c r="O927">
        <v>4.9000000000000004</v>
      </c>
      <c r="P927" t="s">
        <v>20</v>
      </c>
      <c r="Q927">
        <v>2025</v>
      </c>
    </row>
    <row r="928" spans="1:17" hidden="1" x14ac:dyDescent="0.3">
      <c r="A928" t="s">
        <v>15</v>
      </c>
      <c r="B928" t="s">
        <v>476</v>
      </c>
      <c r="C928">
        <v>884</v>
      </c>
      <c r="D928">
        <v>8</v>
      </c>
      <c r="E928"/>
      <c r="F928">
        <v>128</v>
      </c>
      <c r="G928">
        <v>50</v>
      </c>
      <c r="H928"/>
      <c r="I928">
        <v>5500</v>
      </c>
      <c r="J928">
        <v>5.9</v>
      </c>
      <c r="K928">
        <v>18</v>
      </c>
      <c r="L928" t="s">
        <v>38</v>
      </c>
      <c r="M928" t="s">
        <v>18</v>
      </c>
      <c r="N928" t="s">
        <v>23</v>
      </c>
      <c r="O928">
        <v>4.9000000000000004</v>
      </c>
      <c r="P928" t="s">
        <v>64</v>
      </c>
      <c r="Q928">
        <v>2025</v>
      </c>
    </row>
    <row r="929" spans="1:17" hidden="1" x14ac:dyDescent="0.3">
      <c r="A929" t="s">
        <v>36</v>
      </c>
      <c r="B929" t="s">
        <v>766</v>
      </c>
      <c r="C929">
        <v>1234</v>
      </c>
      <c r="D929">
        <v>8</v>
      </c>
      <c r="E929"/>
      <c r="F929">
        <v>512</v>
      </c>
      <c r="G929">
        <v>48</v>
      </c>
      <c r="H929"/>
      <c r="I929">
        <v>4000</v>
      </c>
      <c r="J929">
        <v>6.2</v>
      </c>
      <c r="K929">
        <v>100</v>
      </c>
      <c r="L929" t="s">
        <v>38</v>
      </c>
      <c r="M929" t="s">
        <v>18</v>
      </c>
      <c r="N929" t="s">
        <v>51</v>
      </c>
      <c r="O929">
        <v>4.9000000000000004</v>
      </c>
      <c r="P929" t="s">
        <v>82</v>
      </c>
      <c r="Q929">
        <v>2025</v>
      </c>
    </row>
    <row r="930" spans="1:17" hidden="1" x14ac:dyDescent="0.3">
      <c r="A930" t="s">
        <v>32</v>
      </c>
      <c r="B930" t="s">
        <v>787</v>
      </c>
      <c r="C930">
        <v>1433</v>
      </c>
      <c r="D930">
        <v>8</v>
      </c>
      <c r="E930"/>
      <c r="F930">
        <v>512</v>
      </c>
      <c r="G930">
        <v>200</v>
      </c>
      <c r="H930"/>
      <c r="I930">
        <v>4000</v>
      </c>
      <c r="J930">
        <v>6.4</v>
      </c>
      <c r="K930">
        <v>100</v>
      </c>
      <c r="L930" t="s">
        <v>38</v>
      </c>
      <c r="M930" t="s">
        <v>34</v>
      </c>
      <c r="N930" t="s">
        <v>31</v>
      </c>
      <c r="O930">
        <v>4.9000000000000004</v>
      </c>
      <c r="P930" t="s">
        <v>82</v>
      </c>
      <c r="Q930">
        <v>2025</v>
      </c>
    </row>
    <row r="931" spans="1:17" hidden="1" x14ac:dyDescent="0.3">
      <c r="A931" t="s">
        <v>36</v>
      </c>
      <c r="B931" t="s">
        <v>860</v>
      </c>
      <c r="C931">
        <v>648</v>
      </c>
      <c r="D931">
        <v>8</v>
      </c>
      <c r="E931"/>
      <c r="F931">
        <v>1024</v>
      </c>
      <c r="G931">
        <v>200</v>
      </c>
      <c r="H931"/>
      <c r="I931">
        <v>4500</v>
      </c>
      <c r="J931">
        <v>6</v>
      </c>
      <c r="K931">
        <v>120</v>
      </c>
      <c r="L931" t="s">
        <v>17</v>
      </c>
      <c r="M931" t="s">
        <v>18</v>
      </c>
      <c r="N931" t="s">
        <v>35</v>
      </c>
      <c r="O931">
        <v>4.9000000000000004</v>
      </c>
      <c r="P931" t="s">
        <v>44</v>
      </c>
      <c r="Q931">
        <v>2025</v>
      </c>
    </row>
    <row r="932" spans="1:17" hidden="1" x14ac:dyDescent="0.3">
      <c r="A932" t="s">
        <v>66</v>
      </c>
      <c r="B932" t="s">
        <v>913</v>
      </c>
      <c r="C932">
        <v>316</v>
      </c>
      <c r="D932">
        <v>8</v>
      </c>
      <c r="E932"/>
      <c r="F932">
        <v>1024</v>
      </c>
      <c r="G932">
        <v>64</v>
      </c>
      <c r="H932"/>
      <c r="I932">
        <v>6000</v>
      </c>
      <c r="J932">
        <v>6.4</v>
      </c>
      <c r="K932">
        <v>44</v>
      </c>
      <c r="L932" t="s">
        <v>17</v>
      </c>
      <c r="M932" t="s">
        <v>18</v>
      </c>
      <c r="N932" t="s">
        <v>27</v>
      </c>
      <c r="O932">
        <v>4.9000000000000004</v>
      </c>
      <c r="P932" t="s">
        <v>39</v>
      </c>
      <c r="Q932">
        <v>2025</v>
      </c>
    </row>
    <row r="933" spans="1:17" hidden="1" x14ac:dyDescent="0.3">
      <c r="A933" t="s">
        <v>32</v>
      </c>
      <c r="B933" t="s">
        <v>268</v>
      </c>
      <c r="C933">
        <v>1417</v>
      </c>
      <c r="D933">
        <v>12</v>
      </c>
      <c r="E933"/>
      <c r="F933">
        <v>512</v>
      </c>
      <c r="G933">
        <v>48</v>
      </c>
      <c r="H933"/>
      <c r="I933">
        <v>5000</v>
      </c>
      <c r="J933">
        <v>5.6</v>
      </c>
      <c r="K933">
        <v>18</v>
      </c>
      <c r="L933" t="s">
        <v>38</v>
      </c>
      <c r="M933" t="s">
        <v>34</v>
      </c>
      <c r="N933" t="s">
        <v>19</v>
      </c>
      <c r="O933">
        <v>4.9000000000000004</v>
      </c>
      <c r="P933" t="s">
        <v>56</v>
      </c>
      <c r="Q933">
        <v>2025</v>
      </c>
    </row>
    <row r="934" spans="1:17" hidden="1" x14ac:dyDescent="0.3">
      <c r="A934" t="s">
        <v>36</v>
      </c>
      <c r="B934" t="s">
        <v>429</v>
      </c>
      <c r="C934">
        <v>1409</v>
      </c>
      <c r="D934">
        <v>12</v>
      </c>
      <c r="E934" s="8">
        <f>C934/D934</f>
        <v>117.41666666666667</v>
      </c>
      <c r="F934">
        <v>1024</v>
      </c>
      <c r="G934">
        <v>48</v>
      </c>
      <c r="H934" s="8">
        <f>C934/G934</f>
        <v>29.354166666666668</v>
      </c>
      <c r="I934">
        <v>5500</v>
      </c>
      <c r="J934">
        <v>6.1</v>
      </c>
      <c r="K934">
        <v>65</v>
      </c>
      <c r="L934" t="s">
        <v>17</v>
      </c>
      <c r="M934" t="s">
        <v>18</v>
      </c>
      <c r="N934" t="s">
        <v>35</v>
      </c>
      <c r="O934">
        <v>4.9000000000000004</v>
      </c>
      <c r="P934" t="s">
        <v>39</v>
      </c>
      <c r="Q934">
        <v>2025</v>
      </c>
    </row>
    <row r="935" spans="1:17" hidden="1" x14ac:dyDescent="0.3">
      <c r="A935" t="s">
        <v>29</v>
      </c>
      <c r="B935" t="s">
        <v>424</v>
      </c>
      <c r="C935">
        <v>1399</v>
      </c>
      <c r="D935">
        <v>12</v>
      </c>
      <c r="E935"/>
      <c r="F935">
        <v>1024</v>
      </c>
      <c r="G935">
        <v>48</v>
      </c>
      <c r="H935"/>
      <c r="I935">
        <v>6000</v>
      </c>
      <c r="J935">
        <v>6.7</v>
      </c>
      <c r="K935">
        <v>65</v>
      </c>
      <c r="L935" t="s">
        <v>17</v>
      </c>
      <c r="M935" t="s">
        <v>18</v>
      </c>
      <c r="N935" t="s">
        <v>61</v>
      </c>
      <c r="O935">
        <v>4.9000000000000004</v>
      </c>
      <c r="P935" t="s">
        <v>64</v>
      </c>
      <c r="Q935">
        <v>2025</v>
      </c>
    </row>
    <row r="936" spans="1:17" hidden="1" x14ac:dyDescent="0.3">
      <c r="A936" t="s">
        <v>49</v>
      </c>
      <c r="B936" t="s">
        <v>281</v>
      </c>
      <c r="C936">
        <v>1160</v>
      </c>
      <c r="D936">
        <v>6</v>
      </c>
      <c r="E936" s="8">
        <f>C936/D936</f>
        <v>193.33333333333334</v>
      </c>
      <c r="F936">
        <v>64</v>
      </c>
      <c r="G936">
        <v>48</v>
      </c>
      <c r="H936" s="8">
        <f>C936/G936</f>
        <v>24.166666666666668</v>
      </c>
      <c r="I936">
        <v>5500</v>
      </c>
      <c r="J936">
        <v>6.7</v>
      </c>
      <c r="K936">
        <v>65</v>
      </c>
      <c r="L936" t="s">
        <v>17</v>
      </c>
      <c r="M936" t="s">
        <v>18</v>
      </c>
      <c r="N936" t="s">
        <v>19</v>
      </c>
      <c r="O936">
        <v>4.9000000000000004</v>
      </c>
      <c r="P936" t="s">
        <v>20</v>
      </c>
      <c r="Q936">
        <v>2025</v>
      </c>
    </row>
    <row r="937" spans="1:17" hidden="1" x14ac:dyDescent="0.3">
      <c r="A937" t="s">
        <v>40</v>
      </c>
      <c r="B937" t="s">
        <v>480</v>
      </c>
      <c r="C937">
        <v>639</v>
      </c>
      <c r="D937">
        <v>12</v>
      </c>
      <c r="E937"/>
      <c r="F937">
        <v>128</v>
      </c>
      <c r="G937">
        <v>12</v>
      </c>
      <c r="H937"/>
      <c r="I937">
        <v>4000</v>
      </c>
      <c r="J937">
        <v>5.5</v>
      </c>
      <c r="K937">
        <v>18</v>
      </c>
      <c r="L937" t="s">
        <v>17</v>
      </c>
      <c r="M937" t="s">
        <v>18</v>
      </c>
      <c r="N937" t="s">
        <v>61</v>
      </c>
      <c r="O937">
        <v>4.9000000000000004</v>
      </c>
      <c r="P937" t="s">
        <v>64</v>
      </c>
      <c r="Q937">
        <v>2025</v>
      </c>
    </row>
    <row r="938" spans="1:17" hidden="1" x14ac:dyDescent="0.3">
      <c r="A938" t="s">
        <v>36</v>
      </c>
      <c r="B938" t="s">
        <v>519</v>
      </c>
      <c r="C938">
        <v>151</v>
      </c>
      <c r="D938">
        <v>12</v>
      </c>
      <c r="E938"/>
      <c r="F938">
        <v>512</v>
      </c>
      <c r="G938">
        <v>108</v>
      </c>
      <c r="H938"/>
      <c r="I938">
        <v>5500</v>
      </c>
      <c r="J938">
        <v>7.1</v>
      </c>
      <c r="K938">
        <v>44</v>
      </c>
      <c r="L938" t="s">
        <v>38</v>
      </c>
      <c r="M938" t="s">
        <v>18</v>
      </c>
      <c r="N938" t="s">
        <v>27</v>
      </c>
      <c r="O938">
        <v>4.9000000000000004</v>
      </c>
      <c r="P938" t="s">
        <v>42</v>
      </c>
      <c r="Q938">
        <v>2025</v>
      </c>
    </row>
    <row r="939" spans="1:17" hidden="1" x14ac:dyDescent="0.3">
      <c r="A939" t="s">
        <v>21</v>
      </c>
      <c r="B939" t="s">
        <v>524</v>
      </c>
      <c r="C939">
        <v>317</v>
      </c>
      <c r="D939">
        <v>12</v>
      </c>
      <c r="E939"/>
      <c r="F939">
        <v>512</v>
      </c>
      <c r="G939">
        <v>50</v>
      </c>
      <c r="H939"/>
      <c r="I939">
        <v>5500</v>
      </c>
      <c r="J939">
        <v>6.5</v>
      </c>
      <c r="K939">
        <v>65</v>
      </c>
      <c r="L939" t="s">
        <v>38</v>
      </c>
      <c r="M939" t="s">
        <v>18</v>
      </c>
      <c r="N939" t="s">
        <v>35</v>
      </c>
      <c r="O939">
        <v>4.9000000000000004</v>
      </c>
      <c r="P939" t="s">
        <v>46</v>
      </c>
      <c r="Q939">
        <v>2025</v>
      </c>
    </row>
    <row r="940" spans="1:17" hidden="1" x14ac:dyDescent="0.3">
      <c r="A940" t="s">
        <v>21</v>
      </c>
      <c r="B940" t="s">
        <v>544</v>
      </c>
      <c r="C940">
        <v>1181</v>
      </c>
      <c r="D940">
        <v>12</v>
      </c>
      <c r="E940"/>
      <c r="F940">
        <v>512</v>
      </c>
      <c r="G940">
        <v>12</v>
      </c>
      <c r="H940"/>
      <c r="I940">
        <v>6000</v>
      </c>
      <c r="J940">
        <v>5.8</v>
      </c>
      <c r="K940">
        <v>33</v>
      </c>
      <c r="L940" t="s">
        <v>38</v>
      </c>
      <c r="M940" t="s">
        <v>18</v>
      </c>
      <c r="N940" t="s">
        <v>48</v>
      </c>
      <c r="O940">
        <v>4.9000000000000004</v>
      </c>
      <c r="P940" t="s">
        <v>39</v>
      </c>
      <c r="Q940">
        <v>2025</v>
      </c>
    </row>
    <row r="941" spans="1:17" hidden="1" x14ac:dyDescent="0.3">
      <c r="A941" t="s">
        <v>49</v>
      </c>
      <c r="B941" t="s">
        <v>583</v>
      </c>
      <c r="C941">
        <v>898</v>
      </c>
      <c r="D941">
        <v>12</v>
      </c>
      <c r="E941"/>
      <c r="F941">
        <v>128</v>
      </c>
      <c r="G941">
        <v>12</v>
      </c>
      <c r="H941"/>
      <c r="I941">
        <v>6000</v>
      </c>
      <c r="J941">
        <v>6.3</v>
      </c>
      <c r="K941">
        <v>44</v>
      </c>
      <c r="L941" t="s">
        <v>38</v>
      </c>
      <c r="M941" t="s">
        <v>18</v>
      </c>
      <c r="N941" t="s">
        <v>35</v>
      </c>
      <c r="O941">
        <v>4.9000000000000004</v>
      </c>
      <c r="P941" t="s">
        <v>42</v>
      </c>
      <c r="Q941">
        <v>2025</v>
      </c>
    </row>
    <row r="942" spans="1:17" hidden="1" x14ac:dyDescent="0.3">
      <c r="A942" t="s">
        <v>40</v>
      </c>
      <c r="B942" t="s">
        <v>695</v>
      </c>
      <c r="C942">
        <v>1166</v>
      </c>
      <c r="D942">
        <v>12</v>
      </c>
      <c r="E942"/>
      <c r="F942">
        <v>256</v>
      </c>
      <c r="G942">
        <v>108</v>
      </c>
      <c r="H942"/>
      <c r="I942">
        <v>5000</v>
      </c>
      <c r="J942">
        <v>7</v>
      </c>
      <c r="K942">
        <v>65</v>
      </c>
      <c r="L942" t="s">
        <v>17</v>
      </c>
      <c r="M942" t="s">
        <v>18</v>
      </c>
      <c r="N942" t="s">
        <v>48</v>
      </c>
      <c r="O942">
        <v>4.9000000000000004</v>
      </c>
      <c r="P942" t="s">
        <v>42</v>
      </c>
      <c r="Q942">
        <v>2025</v>
      </c>
    </row>
    <row r="943" spans="1:17" hidden="1" x14ac:dyDescent="0.3">
      <c r="A943" t="s">
        <v>21</v>
      </c>
      <c r="B943" t="s">
        <v>814</v>
      </c>
      <c r="C943">
        <v>835</v>
      </c>
      <c r="D943">
        <v>12</v>
      </c>
      <c r="E943"/>
      <c r="F943">
        <v>128</v>
      </c>
      <c r="G943">
        <v>64</v>
      </c>
      <c r="H943"/>
      <c r="I943">
        <v>4000</v>
      </c>
      <c r="J943">
        <v>6.2</v>
      </c>
      <c r="K943">
        <v>100</v>
      </c>
      <c r="L943" t="s">
        <v>17</v>
      </c>
      <c r="M943" t="s">
        <v>18</v>
      </c>
      <c r="N943" t="s">
        <v>23</v>
      </c>
      <c r="O943">
        <v>4.9000000000000004</v>
      </c>
      <c r="P943" t="s">
        <v>46</v>
      </c>
      <c r="Q943">
        <v>2025</v>
      </c>
    </row>
    <row r="944" spans="1:17" hidden="1" x14ac:dyDescent="0.3">
      <c r="A944" t="s">
        <v>15</v>
      </c>
      <c r="B944" t="s">
        <v>317</v>
      </c>
      <c r="C944">
        <v>1060</v>
      </c>
      <c r="D944">
        <v>4</v>
      </c>
      <c r="E944" s="8">
        <f>C944/D944</f>
        <v>265</v>
      </c>
      <c r="F944">
        <v>128</v>
      </c>
      <c r="G944">
        <v>200</v>
      </c>
      <c r="H944" s="8">
        <f>C944/G944</f>
        <v>5.3</v>
      </c>
      <c r="I944">
        <v>6000</v>
      </c>
      <c r="J944">
        <v>6.7</v>
      </c>
      <c r="K944">
        <v>65</v>
      </c>
      <c r="L944" t="s">
        <v>17</v>
      </c>
      <c r="M944" t="s">
        <v>18</v>
      </c>
      <c r="N944" t="s">
        <v>35</v>
      </c>
      <c r="O944">
        <v>4.9000000000000004</v>
      </c>
      <c r="P944" t="s">
        <v>44</v>
      </c>
      <c r="Q944">
        <v>2025</v>
      </c>
    </row>
    <row r="945" spans="1:17" hidden="1" x14ac:dyDescent="0.3">
      <c r="A945" t="s">
        <v>21</v>
      </c>
      <c r="B945" t="s">
        <v>978</v>
      </c>
      <c r="C945">
        <v>1154</v>
      </c>
      <c r="D945">
        <v>12</v>
      </c>
      <c r="E945"/>
      <c r="F945">
        <v>1024</v>
      </c>
      <c r="G945">
        <v>64</v>
      </c>
      <c r="H945"/>
      <c r="I945">
        <v>6000</v>
      </c>
      <c r="J945">
        <v>5.7</v>
      </c>
      <c r="K945">
        <v>18</v>
      </c>
      <c r="L945" t="s">
        <v>17</v>
      </c>
      <c r="M945" t="s">
        <v>18</v>
      </c>
      <c r="N945" t="s">
        <v>23</v>
      </c>
      <c r="O945">
        <v>4.9000000000000004</v>
      </c>
      <c r="P945" t="s">
        <v>82</v>
      </c>
      <c r="Q945">
        <v>2025</v>
      </c>
    </row>
    <row r="946" spans="1:17" hidden="1" x14ac:dyDescent="0.3">
      <c r="A946" t="s">
        <v>66</v>
      </c>
      <c r="B946" t="s">
        <v>1001</v>
      </c>
      <c r="C946">
        <v>799</v>
      </c>
      <c r="D946">
        <v>12</v>
      </c>
      <c r="E946"/>
      <c r="F946">
        <v>512</v>
      </c>
      <c r="G946">
        <v>108</v>
      </c>
      <c r="H946"/>
      <c r="I946">
        <v>5500</v>
      </c>
      <c r="J946">
        <v>7</v>
      </c>
      <c r="K946">
        <v>120</v>
      </c>
      <c r="L946" t="s">
        <v>38</v>
      </c>
      <c r="M946" t="s">
        <v>18</v>
      </c>
      <c r="N946" t="s">
        <v>35</v>
      </c>
      <c r="O946">
        <v>4.9000000000000004</v>
      </c>
      <c r="P946" t="s">
        <v>42</v>
      </c>
      <c r="Q946">
        <v>2025</v>
      </c>
    </row>
    <row r="947" spans="1:17" hidden="1" x14ac:dyDescent="0.3">
      <c r="A947" t="s">
        <v>40</v>
      </c>
      <c r="B947" t="s">
        <v>226</v>
      </c>
      <c r="C947">
        <v>1384</v>
      </c>
      <c r="D947">
        <v>16</v>
      </c>
      <c r="E947"/>
      <c r="F947">
        <v>1024</v>
      </c>
      <c r="G947">
        <v>200</v>
      </c>
      <c r="H947"/>
      <c r="I947">
        <v>5500</v>
      </c>
      <c r="J947">
        <v>7</v>
      </c>
      <c r="K947">
        <v>44</v>
      </c>
      <c r="L947" t="s">
        <v>38</v>
      </c>
      <c r="M947" t="s">
        <v>18</v>
      </c>
      <c r="N947" t="s">
        <v>19</v>
      </c>
      <c r="O947">
        <v>4.9000000000000004</v>
      </c>
      <c r="P947" t="s">
        <v>82</v>
      </c>
      <c r="Q947">
        <v>2025</v>
      </c>
    </row>
    <row r="948" spans="1:17" hidden="1" x14ac:dyDescent="0.3">
      <c r="A948" t="s">
        <v>21</v>
      </c>
      <c r="B948" t="s">
        <v>305</v>
      </c>
      <c r="C948">
        <v>896</v>
      </c>
      <c r="D948">
        <v>16</v>
      </c>
      <c r="E948"/>
      <c r="F948">
        <v>128</v>
      </c>
      <c r="G948">
        <v>50</v>
      </c>
      <c r="H948"/>
      <c r="I948">
        <v>4000</v>
      </c>
      <c r="J948">
        <v>6.2</v>
      </c>
      <c r="K948">
        <v>100</v>
      </c>
      <c r="L948" t="s">
        <v>38</v>
      </c>
      <c r="M948" t="s">
        <v>18</v>
      </c>
      <c r="N948" t="s">
        <v>35</v>
      </c>
      <c r="O948">
        <v>4.9000000000000004</v>
      </c>
      <c r="P948" t="s">
        <v>20</v>
      </c>
      <c r="Q948">
        <v>2025</v>
      </c>
    </row>
    <row r="949" spans="1:17" hidden="1" x14ac:dyDescent="0.3">
      <c r="A949" t="s">
        <v>36</v>
      </c>
      <c r="B949" t="s">
        <v>334</v>
      </c>
      <c r="C949">
        <v>232</v>
      </c>
      <c r="D949">
        <v>16</v>
      </c>
      <c r="E949"/>
      <c r="F949">
        <v>1024</v>
      </c>
      <c r="G949">
        <v>200</v>
      </c>
      <c r="H949"/>
      <c r="I949">
        <v>6000</v>
      </c>
      <c r="J949">
        <v>6.7</v>
      </c>
      <c r="K949">
        <v>100</v>
      </c>
      <c r="L949" t="s">
        <v>38</v>
      </c>
      <c r="M949" t="s">
        <v>18</v>
      </c>
      <c r="N949" t="s">
        <v>61</v>
      </c>
      <c r="O949">
        <v>4.9000000000000004</v>
      </c>
      <c r="P949" t="s">
        <v>71</v>
      </c>
      <c r="Q949">
        <v>2025</v>
      </c>
    </row>
    <row r="950" spans="1:17" x14ac:dyDescent="0.3">
      <c r="A950" t="s">
        <v>15</v>
      </c>
      <c r="B950" t="s">
        <v>266</v>
      </c>
      <c r="C950">
        <v>1250</v>
      </c>
      <c r="D950">
        <v>6</v>
      </c>
      <c r="E950" s="8">
        <f>C950/D950</f>
        <v>208.33333333333334</v>
      </c>
      <c r="F950">
        <v>128</v>
      </c>
      <c r="G950">
        <v>48</v>
      </c>
      <c r="H950" s="8">
        <f>C950/G950</f>
        <v>26.041666666666668</v>
      </c>
      <c r="I950">
        <v>6000</v>
      </c>
      <c r="J950">
        <v>6.6</v>
      </c>
      <c r="K950">
        <v>100</v>
      </c>
      <c r="L950" t="s">
        <v>38</v>
      </c>
      <c r="M950" t="s">
        <v>18</v>
      </c>
      <c r="N950" t="s">
        <v>48</v>
      </c>
      <c r="O950">
        <v>4.9000000000000004</v>
      </c>
      <c r="P950" t="s">
        <v>56</v>
      </c>
      <c r="Q950">
        <v>2025</v>
      </c>
    </row>
    <row r="951" spans="1:17" hidden="1" x14ac:dyDescent="0.3">
      <c r="A951" t="s">
        <v>29</v>
      </c>
      <c r="B951" t="s">
        <v>346</v>
      </c>
      <c r="C951">
        <v>849</v>
      </c>
      <c r="D951">
        <v>16</v>
      </c>
      <c r="E951"/>
      <c r="F951">
        <v>128</v>
      </c>
      <c r="G951">
        <v>200</v>
      </c>
      <c r="H951"/>
      <c r="I951">
        <v>5000</v>
      </c>
      <c r="J951">
        <v>6.1</v>
      </c>
      <c r="K951">
        <v>120</v>
      </c>
      <c r="L951" t="s">
        <v>38</v>
      </c>
      <c r="M951" t="s">
        <v>18</v>
      </c>
      <c r="N951" t="s">
        <v>27</v>
      </c>
      <c r="O951">
        <v>4.9000000000000004</v>
      </c>
      <c r="P951" t="s">
        <v>39</v>
      </c>
      <c r="Q951">
        <v>2025</v>
      </c>
    </row>
    <row r="952" spans="1:17" hidden="1" x14ac:dyDescent="0.3">
      <c r="A952" t="s">
        <v>66</v>
      </c>
      <c r="B952" t="s">
        <v>367</v>
      </c>
      <c r="C952">
        <v>464</v>
      </c>
      <c r="D952">
        <v>16</v>
      </c>
      <c r="E952"/>
      <c r="F952">
        <v>1024</v>
      </c>
      <c r="G952">
        <v>200</v>
      </c>
      <c r="H952"/>
      <c r="I952">
        <v>6000</v>
      </c>
      <c r="J952">
        <v>5.7</v>
      </c>
      <c r="K952">
        <v>100</v>
      </c>
      <c r="L952" t="s">
        <v>17</v>
      </c>
      <c r="M952" t="s">
        <v>18</v>
      </c>
      <c r="N952" t="s">
        <v>48</v>
      </c>
      <c r="O952">
        <v>4.9000000000000004</v>
      </c>
      <c r="P952" t="s">
        <v>82</v>
      </c>
      <c r="Q952">
        <v>2025</v>
      </c>
    </row>
    <row r="953" spans="1:17" hidden="1" x14ac:dyDescent="0.3">
      <c r="A953" t="s">
        <v>29</v>
      </c>
      <c r="B953" t="s">
        <v>716</v>
      </c>
      <c r="C953">
        <v>984</v>
      </c>
      <c r="D953">
        <v>16</v>
      </c>
      <c r="E953"/>
      <c r="F953">
        <v>256</v>
      </c>
      <c r="G953">
        <v>200</v>
      </c>
      <c r="H953"/>
      <c r="I953">
        <v>4500</v>
      </c>
      <c r="J953">
        <v>6.8</v>
      </c>
      <c r="K953">
        <v>44</v>
      </c>
      <c r="L953" t="s">
        <v>17</v>
      </c>
      <c r="M953" t="s">
        <v>18</v>
      </c>
      <c r="N953" t="s">
        <v>48</v>
      </c>
      <c r="O953">
        <v>4.9000000000000004</v>
      </c>
      <c r="P953" t="s">
        <v>24</v>
      </c>
      <c r="Q953">
        <v>2025</v>
      </c>
    </row>
    <row r="954" spans="1:17" x14ac:dyDescent="0.3">
      <c r="A954" t="s">
        <v>15</v>
      </c>
      <c r="B954" t="s">
        <v>340</v>
      </c>
      <c r="C954">
        <v>1012</v>
      </c>
      <c r="D954">
        <v>16</v>
      </c>
      <c r="E954" s="8">
        <f>C954/D954</f>
        <v>63.25</v>
      </c>
      <c r="F954">
        <v>256</v>
      </c>
      <c r="G954">
        <v>108</v>
      </c>
      <c r="H954" s="8">
        <f>C954/G954</f>
        <v>9.3703703703703702</v>
      </c>
      <c r="I954">
        <v>4000</v>
      </c>
      <c r="J954">
        <v>6.1</v>
      </c>
      <c r="K954">
        <v>120</v>
      </c>
      <c r="L954" t="s">
        <v>38</v>
      </c>
      <c r="M954" t="s">
        <v>18</v>
      </c>
      <c r="N954" t="s">
        <v>48</v>
      </c>
      <c r="O954">
        <v>4.9000000000000004</v>
      </c>
      <c r="P954" t="s">
        <v>82</v>
      </c>
      <c r="Q954">
        <v>2025</v>
      </c>
    </row>
    <row r="955" spans="1:17" hidden="1" x14ac:dyDescent="0.3">
      <c r="A955" t="s">
        <v>49</v>
      </c>
      <c r="B955" t="s">
        <v>1026</v>
      </c>
      <c r="C955">
        <v>1368</v>
      </c>
      <c r="D955">
        <v>16</v>
      </c>
      <c r="E955"/>
      <c r="F955">
        <v>64</v>
      </c>
      <c r="G955">
        <v>50</v>
      </c>
      <c r="H955"/>
      <c r="I955">
        <v>5500</v>
      </c>
      <c r="J955">
        <v>5.6</v>
      </c>
      <c r="K955">
        <v>120</v>
      </c>
      <c r="L955" t="s">
        <v>38</v>
      </c>
      <c r="M955" t="s">
        <v>18</v>
      </c>
      <c r="N955" t="s">
        <v>48</v>
      </c>
      <c r="O955">
        <v>4.9000000000000004</v>
      </c>
      <c r="P955" t="s">
        <v>82</v>
      </c>
      <c r="Q955">
        <v>2025</v>
      </c>
    </row>
    <row r="956" spans="1:17" hidden="1" x14ac:dyDescent="0.3">
      <c r="A956" t="s">
        <v>21</v>
      </c>
      <c r="B956" t="s">
        <v>1031</v>
      </c>
      <c r="C956">
        <v>629</v>
      </c>
      <c r="D956">
        <v>16</v>
      </c>
      <c r="E956"/>
      <c r="F956">
        <v>1024</v>
      </c>
      <c r="G956">
        <v>12</v>
      </c>
      <c r="H956"/>
      <c r="I956">
        <v>4000</v>
      </c>
      <c r="J956">
        <v>6.8</v>
      </c>
      <c r="K956">
        <v>65</v>
      </c>
      <c r="L956" t="s">
        <v>38</v>
      </c>
      <c r="M956" t="s">
        <v>18</v>
      </c>
      <c r="N956" t="s">
        <v>35</v>
      </c>
      <c r="O956">
        <v>4.9000000000000004</v>
      </c>
      <c r="P956" t="s">
        <v>39</v>
      </c>
      <c r="Q956">
        <v>2025</v>
      </c>
    </row>
    <row r="957" spans="1:17" hidden="1" x14ac:dyDescent="0.3">
      <c r="A957" t="s">
        <v>40</v>
      </c>
      <c r="B957" t="s">
        <v>323</v>
      </c>
      <c r="C957">
        <v>1167</v>
      </c>
      <c r="D957">
        <v>4</v>
      </c>
      <c r="E957"/>
      <c r="F957">
        <v>1024</v>
      </c>
      <c r="G957">
        <v>50</v>
      </c>
      <c r="H957"/>
      <c r="I957">
        <v>4500</v>
      </c>
      <c r="J957">
        <v>7.1</v>
      </c>
      <c r="K957">
        <v>18</v>
      </c>
      <c r="L957" t="s">
        <v>17</v>
      </c>
      <c r="M957" t="s">
        <v>18</v>
      </c>
      <c r="N957" t="s">
        <v>61</v>
      </c>
      <c r="O957">
        <v>5</v>
      </c>
      <c r="P957" t="s">
        <v>20</v>
      </c>
      <c r="Q957">
        <v>2025</v>
      </c>
    </row>
    <row r="958" spans="1:17" hidden="1" x14ac:dyDescent="0.3">
      <c r="A958" t="s">
        <v>36</v>
      </c>
      <c r="B958" t="s">
        <v>374</v>
      </c>
      <c r="C958">
        <v>245</v>
      </c>
      <c r="D958">
        <v>4</v>
      </c>
      <c r="E958"/>
      <c r="F958">
        <v>256</v>
      </c>
      <c r="G958">
        <v>48</v>
      </c>
      <c r="H958"/>
      <c r="I958">
        <v>4500</v>
      </c>
      <c r="J958">
        <v>6.2</v>
      </c>
      <c r="K958">
        <v>44</v>
      </c>
      <c r="L958" t="s">
        <v>17</v>
      </c>
      <c r="M958" t="s">
        <v>18</v>
      </c>
      <c r="N958" t="s">
        <v>23</v>
      </c>
      <c r="O958">
        <v>5</v>
      </c>
      <c r="P958" t="s">
        <v>24</v>
      </c>
      <c r="Q958">
        <v>2025</v>
      </c>
    </row>
    <row r="959" spans="1:17" hidden="1" x14ac:dyDescent="0.3">
      <c r="A959" t="s">
        <v>32</v>
      </c>
      <c r="B959" t="s">
        <v>579</v>
      </c>
      <c r="C959">
        <v>818</v>
      </c>
      <c r="D959">
        <v>4</v>
      </c>
      <c r="E959"/>
      <c r="F959">
        <v>64</v>
      </c>
      <c r="G959">
        <v>48</v>
      </c>
      <c r="H959"/>
      <c r="I959">
        <v>4000</v>
      </c>
      <c r="J959">
        <v>7.1</v>
      </c>
      <c r="K959">
        <v>33</v>
      </c>
      <c r="L959" t="s">
        <v>38</v>
      </c>
      <c r="M959" t="s">
        <v>34</v>
      </c>
      <c r="N959" t="s">
        <v>23</v>
      </c>
      <c r="O959">
        <v>5</v>
      </c>
      <c r="P959" t="s">
        <v>54</v>
      </c>
      <c r="Q959">
        <v>2025</v>
      </c>
    </row>
    <row r="960" spans="1:17" hidden="1" x14ac:dyDescent="0.3">
      <c r="A960" t="s">
        <v>66</v>
      </c>
      <c r="B960" t="s">
        <v>586</v>
      </c>
      <c r="C960">
        <v>1426</v>
      </c>
      <c r="D960">
        <v>4</v>
      </c>
      <c r="E960"/>
      <c r="F960">
        <v>64</v>
      </c>
      <c r="G960">
        <v>108</v>
      </c>
      <c r="H960"/>
      <c r="I960">
        <v>5000</v>
      </c>
      <c r="J960">
        <v>6.6</v>
      </c>
      <c r="K960">
        <v>100</v>
      </c>
      <c r="L960" t="s">
        <v>38</v>
      </c>
      <c r="M960" t="s">
        <v>18</v>
      </c>
      <c r="N960" t="s">
        <v>27</v>
      </c>
      <c r="O960">
        <v>5</v>
      </c>
      <c r="P960" t="s">
        <v>54</v>
      </c>
      <c r="Q960">
        <v>2025</v>
      </c>
    </row>
    <row r="961" spans="1:17" hidden="1" x14ac:dyDescent="0.3">
      <c r="A961" t="s">
        <v>40</v>
      </c>
      <c r="B961" t="s">
        <v>532</v>
      </c>
      <c r="C961">
        <v>1021</v>
      </c>
      <c r="D961">
        <v>16</v>
      </c>
      <c r="E961" s="8">
        <f>C961/D961</f>
        <v>63.8125</v>
      </c>
      <c r="F961">
        <v>512</v>
      </c>
      <c r="G961">
        <v>50</v>
      </c>
      <c r="H961" s="8">
        <f>C961/G961</f>
        <v>20.420000000000002</v>
      </c>
      <c r="I961">
        <v>6000</v>
      </c>
      <c r="J961">
        <v>6.5</v>
      </c>
      <c r="K961">
        <v>18</v>
      </c>
      <c r="L961" t="s">
        <v>17</v>
      </c>
      <c r="M961" t="s">
        <v>18</v>
      </c>
      <c r="N961" t="s">
        <v>35</v>
      </c>
      <c r="O961">
        <v>5</v>
      </c>
      <c r="P961" t="s">
        <v>39</v>
      </c>
      <c r="Q961">
        <v>2025</v>
      </c>
    </row>
    <row r="962" spans="1:17" hidden="1" x14ac:dyDescent="0.3">
      <c r="A962" t="s">
        <v>66</v>
      </c>
      <c r="B962" t="s">
        <v>692</v>
      </c>
      <c r="C962">
        <v>122</v>
      </c>
      <c r="D962">
        <v>4</v>
      </c>
      <c r="E962"/>
      <c r="F962">
        <v>64</v>
      </c>
      <c r="G962">
        <v>200</v>
      </c>
      <c r="H962"/>
      <c r="I962">
        <v>6000</v>
      </c>
      <c r="J962">
        <v>6.7</v>
      </c>
      <c r="K962">
        <v>18</v>
      </c>
      <c r="L962" t="s">
        <v>38</v>
      </c>
      <c r="M962" t="s">
        <v>18</v>
      </c>
      <c r="N962" t="s">
        <v>23</v>
      </c>
      <c r="O962">
        <v>5</v>
      </c>
      <c r="P962" t="s">
        <v>82</v>
      </c>
      <c r="Q962">
        <v>2025</v>
      </c>
    </row>
    <row r="963" spans="1:17" hidden="1" x14ac:dyDescent="0.3">
      <c r="A963" t="s">
        <v>66</v>
      </c>
      <c r="B963" t="s">
        <v>802</v>
      </c>
      <c r="C963">
        <v>1373</v>
      </c>
      <c r="D963">
        <v>4</v>
      </c>
      <c r="E963"/>
      <c r="F963">
        <v>256</v>
      </c>
      <c r="G963">
        <v>108</v>
      </c>
      <c r="H963"/>
      <c r="I963">
        <v>4000</v>
      </c>
      <c r="J963">
        <v>5.6</v>
      </c>
      <c r="K963">
        <v>120</v>
      </c>
      <c r="L963" t="s">
        <v>38</v>
      </c>
      <c r="M963" t="s">
        <v>18</v>
      </c>
      <c r="N963" t="s">
        <v>61</v>
      </c>
      <c r="O963">
        <v>5</v>
      </c>
      <c r="P963" t="s">
        <v>44</v>
      </c>
      <c r="Q963">
        <v>2025</v>
      </c>
    </row>
    <row r="964" spans="1:17" hidden="1" x14ac:dyDescent="0.3">
      <c r="A964" t="s">
        <v>49</v>
      </c>
      <c r="B964" t="s">
        <v>846</v>
      </c>
      <c r="C964">
        <v>573</v>
      </c>
      <c r="D964">
        <v>4</v>
      </c>
      <c r="E964"/>
      <c r="F964">
        <v>1024</v>
      </c>
      <c r="G964">
        <v>108</v>
      </c>
      <c r="H964"/>
      <c r="I964">
        <v>5500</v>
      </c>
      <c r="J964">
        <v>5.6</v>
      </c>
      <c r="K964">
        <v>120</v>
      </c>
      <c r="L964" t="s">
        <v>17</v>
      </c>
      <c r="M964" t="s">
        <v>18</v>
      </c>
      <c r="N964" t="s">
        <v>35</v>
      </c>
      <c r="O964">
        <v>5</v>
      </c>
      <c r="P964" t="s">
        <v>28</v>
      </c>
      <c r="Q964">
        <v>2025</v>
      </c>
    </row>
    <row r="965" spans="1:17" hidden="1" x14ac:dyDescent="0.3">
      <c r="A965" t="s">
        <v>49</v>
      </c>
      <c r="B965" t="s">
        <v>954</v>
      </c>
      <c r="C965">
        <v>179</v>
      </c>
      <c r="D965">
        <v>4</v>
      </c>
      <c r="E965"/>
      <c r="F965">
        <v>1024</v>
      </c>
      <c r="G965">
        <v>64</v>
      </c>
      <c r="H965"/>
      <c r="I965">
        <v>5000</v>
      </c>
      <c r="J965">
        <v>5.6</v>
      </c>
      <c r="K965">
        <v>44</v>
      </c>
      <c r="L965" t="s">
        <v>38</v>
      </c>
      <c r="M965" t="s">
        <v>18</v>
      </c>
      <c r="N965" t="s">
        <v>35</v>
      </c>
      <c r="O965">
        <v>5</v>
      </c>
      <c r="P965" t="s">
        <v>20</v>
      </c>
      <c r="Q965">
        <v>2025</v>
      </c>
    </row>
    <row r="966" spans="1:17" hidden="1" x14ac:dyDescent="0.3">
      <c r="A966" t="s">
        <v>25</v>
      </c>
      <c r="B966" t="s">
        <v>1018</v>
      </c>
      <c r="C966">
        <v>439</v>
      </c>
      <c r="D966">
        <v>4</v>
      </c>
      <c r="E966"/>
      <c r="F966">
        <v>64</v>
      </c>
      <c r="G966">
        <v>12</v>
      </c>
      <c r="H966"/>
      <c r="I966">
        <v>6000</v>
      </c>
      <c r="J966">
        <v>6</v>
      </c>
      <c r="K966">
        <v>120</v>
      </c>
      <c r="L966" t="s">
        <v>17</v>
      </c>
      <c r="M966" t="s">
        <v>18</v>
      </c>
      <c r="N966" t="s">
        <v>19</v>
      </c>
      <c r="O966">
        <v>5</v>
      </c>
      <c r="P966" t="s">
        <v>44</v>
      </c>
      <c r="Q966">
        <v>2025</v>
      </c>
    </row>
    <row r="967" spans="1:17" x14ac:dyDescent="0.3">
      <c r="A967" t="s">
        <v>49</v>
      </c>
      <c r="B967" t="s">
        <v>140</v>
      </c>
      <c r="C967">
        <v>230</v>
      </c>
      <c r="D967">
        <v>6</v>
      </c>
      <c r="E967" s="8">
        <f t="shared" ref="E967:E968" si="90">C967/D967</f>
        <v>38.333333333333336</v>
      </c>
      <c r="F967">
        <v>512</v>
      </c>
      <c r="G967">
        <v>50</v>
      </c>
      <c r="H967" s="8">
        <f t="shared" ref="H967:H968" si="91">C967/G967</f>
        <v>4.5999999999999996</v>
      </c>
      <c r="I967">
        <v>4500</v>
      </c>
      <c r="J967">
        <v>6.2</v>
      </c>
      <c r="K967">
        <v>33</v>
      </c>
      <c r="L967" t="s">
        <v>38</v>
      </c>
      <c r="M967" t="s">
        <v>18</v>
      </c>
      <c r="N967" t="s">
        <v>35</v>
      </c>
      <c r="O967">
        <v>5</v>
      </c>
      <c r="P967" t="s">
        <v>82</v>
      </c>
      <c r="Q967">
        <v>2025</v>
      </c>
    </row>
    <row r="968" spans="1:17" hidden="1" x14ac:dyDescent="0.3">
      <c r="A968" t="s">
        <v>49</v>
      </c>
      <c r="B968" t="s">
        <v>914</v>
      </c>
      <c r="C968">
        <v>304</v>
      </c>
      <c r="D968">
        <v>6</v>
      </c>
      <c r="E968" s="8">
        <f t="shared" si="90"/>
        <v>50.666666666666664</v>
      </c>
      <c r="F968">
        <v>256</v>
      </c>
      <c r="G968">
        <v>108</v>
      </c>
      <c r="H968" s="8">
        <f t="shared" si="91"/>
        <v>2.8148148148148149</v>
      </c>
      <c r="I968">
        <v>4500</v>
      </c>
      <c r="J968">
        <v>6.9</v>
      </c>
      <c r="K968">
        <v>33</v>
      </c>
      <c r="L968" t="s">
        <v>17</v>
      </c>
      <c r="M968" t="s">
        <v>18</v>
      </c>
      <c r="N968" t="s">
        <v>48</v>
      </c>
      <c r="O968">
        <v>5</v>
      </c>
      <c r="P968" t="s">
        <v>46</v>
      </c>
      <c r="Q968">
        <v>2025</v>
      </c>
    </row>
    <row r="969" spans="1:17" hidden="1" x14ac:dyDescent="0.3">
      <c r="A969" t="s">
        <v>21</v>
      </c>
      <c r="B969" t="s">
        <v>387</v>
      </c>
      <c r="C969">
        <v>486</v>
      </c>
      <c r="D969">
        <v>6</v>
      </c>
      <c r="E969"/>
      <c r="F969">
        <v>512</v>
      </c>
      <c r="G969">
        <v>108</v>
      </c>
      <c r="H969"/>
      <c r="I969">
        <v>5000</v>
      </c>
      <c r="J969">
        <v>6.3</v>
      </c>
      <c r="K969">
        <v>120</v>
      </c>
      <c r="L969" t="s">
        <v>17</v>
      </c>
      <c r="M969" t="s">
        <v>18</v>
      </c>
      <c r="N969" t="s">
        <v>27</v>
      </c>
      <c r="O969">
        <v>5</v>
      </c>
      <c r="P969" t="s">
        <v>64</v>
      </c>
      <c r="Q969">
        <v>2025</v>
      </c>
    </row>
    <row r="970" spans="1:17" hidden="1" x14ac:dyDescent="0.3">
      <c r="A970" t="s">
        <v>36</v>
      </c>
      <c r="B970" t="s">
        <v>528</v>
      </c>
      <c r="C970">
        <v>898</v>
      </c>
      <c r="D970">
        <v>6</v>
      </c>
      <c r="E970"/>
      <c r="F970">
        <v>512</v>
      </c>
      <c r="G970">
        <v>64</v>
      </c>
      <c r="H970"/>
      <c r="I970">
        <v>5000</v>
      </c>
      <c r="J970">
        <v>7</v>
      </c>
      <c r="K970">
        <v>44</v>
      </c>
      <c r="L970" t="s">
        <v>38</v>
      </c>
      <c r="M970" t="s">
        <v>18</v>
      </c>
      <c r="N970" t="s">
        <v>31</v>
      </c>
      <c r="O970">
        <v>5</v>
      </c>
      <c r="P970" t="s">
        <v>20</v>
      </c>
      <c r="Q970">
        <v>2025</v>
      </c>
    </row>
    <row r="971" spans="1:17" hidden="1" x14ac:dyDescent="0.3">
      <c r="A971" t="s">
        <v>15</v>
      </c>
      <c r="B971" t="s">
        <v>567</v>
      </c>
      <c r="C971">
        <v>567</v>
      </c>
      <c r="D971">
        <v>6</v>
      </c>
      <c r="E971"/>
      <c r="F971">
        <v>128</v>
      </c>
      <c r="G971">
        <v>108</v>
      </c>
      <c r="H971"/>
      <c r="I971">
        <v>5000</v>
      </c>
      <c r="J971">
        <v>6.8</v>
      </c>
      <c r="K971">
        <v>100</v>
      </c>
      <c r="L971" t="s">
        <v>17</v>
      </c>
      <c r="M971" t="s">
        <v>18</v>
      </c>
      <c r="N971" t="s">
        <v>51</v>
      </c>
      <c r="O971">
        <v>5</v>
      </c>
      <c r="P971" t="s">
        <v>56</v>
      </c>
      <c r="Q971">
        <v>2025</v>
      </c>
    </row>
    <row r="972" spans="1:17" hidden="1" x14ac:dyDescent="0.3">
      <c r="A972" t="s">
        <v>40</v>
      </c>
      <c r="B972" t="s">
        <v>786</v>
      </c>
      <c r="C972">
        <v>182</v>
      </c>
      <c r="D972">
        <v>6</v>
      </c>
      <c r="E972"/>
      <c r="F972">
        <v>128</v>
      </c>
      <c r="G972">
        <v>48</v>
      </c>
      <c r="H972"/>
      <c r="I972">
        <v>5000</v>
      </c>
      <c r="J972">
        <v>5.6</v>
      </c>
      <c r="K972">
        <v>65</v>
      </c>
      <c r="L972" t="s">
        <v>17</v>
      </c>
      <c r="M972" t="s">
        <v>18</v>
      </c>
      <c r="N972" t="s">
        <v>51</v>
      </c>
      <c r="O972">
        <v>5</v>
      </c>
      <c r="P972" t="s">
        <v>82</v>
      </c>
      <c r="Q972">
        <v>2025</v>
      </c>
    </row>
    <row r="973" spans="1:17" x14ac:dyDescent="0.3">
      <c r="A973" t="s">
        <v>29</v>
      </c>
      <c r="B973" t="s">
        <v>983</v>
      </c>
      <c r="C973">
        <v>1160</v>
      </c>
      <c r="D973">
        <v>8</v>
      </c>
      <c r="E973" s="8">
        <f>C973/D973</f>
        <v>145</v>
      </c>
      <c r="F973">
        <v>256</v>
      </c>
      <c r="G973">
        <v>200</v>
      </c>
      <c r="H973" s="8">
        <f>C973/G973</f>
        <v>5.8</v>
      </c>
      <c r="I973">
        <v>5000</v>
      </c>
      <c r="J973">
        <v>5.5</v>
      </c>
      <c r="K973">
        <v>44</v>
      </c>
      <c r="L973" t="s">
        <v>38</v>
      </c>
      <c r="M973" t="s">
        <v>18</v>
      </c>
      <c r="N973" t="s">
        <v>27</v>
      </c>
      <c r="O973">
        <v>5</v>
      </c>
      <c r="P973" t="s">
        <v>20</v>
      </c>
      <c r="Q973">
        <v>2025</v>
      </c>
    </row>
    <row r="974" spans="1:17" hidden="1" x14ac:dyDescent="0.3">
      <c r="A974" t="s">
        <v>15</v>
      </c>
      <c r="B974" t="s">
        <v>962</v>
      </c>
      <c r="C974">
        <v>118</v>
      </c>
      <c r="D974">
        <v>6</v>
      </c>
      <c r="E974"/>
      <c r="F974">
        <v>512</v>
      </c>
      <c r="G974">
        <v>108</v>
      </c>
      <c r="H974"/>
      <c r="I974">
        <v>4500</v>
      </c>
      <c r="J974">
        <v>5.5</v>
      </c>
      <c r="K974">
        <v>120</v>
      </c>
      <c r="L974" t="s">
        <v>38</v>
      </c>
      <c r="M974" t="s">
        <v>18</v>
      </c>
      <c r="N974" t="s">
        <v>48</v>
      </c>
      <c r="O974">
        <v>5</v>
      </c>
      <c r="P974" t="s">
        <v>24</v>
      </c>
      <c r="Q974">
        <v>2025</v>
      </c>
    </row>
    <row r="975" spans="1:17" hidden="1" x14ac:dyDescent="0.3">
      <c r="A975" t="s">
        <v>21</v>
      </c>
      <c r="B975" t="s">
        <v>1003</v>
      </c>
      <c r="C975">
        <v>1211</v>
      </c>
      <c r="D975">
        <v>6</v>
      </c>
      <c r="E975"/>
      <c r="F975">
        <v>64</v>
      </c>
      <c r="G975">
        <v>50</v>
      </c>
      <c r="H975"/>
      <c r="I975">
        <v>5000</v>
      </c>
      <c r="J975">
        <v>6.2</v>
      </c>
      <c r="K975">
        <v>18</v>
      </c>
      <c r="L975" t="s">
        <v>17</v>
      </c>
      <c r="M975" t="s">
        <v>18</v>
      </c>
      <c r="N975" t="s">
        <v>19</v>
      </c>
      <c r="O975">
        <v>5</v>
      </c>
      <c r="P975" t="s">
        <v>82</v>
      </c>
      <c r="Q975">
        <v>2025</v>
      </c>
    </row>
    <row r="976" spans="1:17" hidden="1" x14ac:dyDescent="0.3">
      <c r="A976" t="s">
        <v>15</v>
      </c>
      <c r="B976" t="s">
        <v>254</v>
      </c>
      <c r="C976">
        <v>1399</v>
      </c>
      <c r="D976">
        <v>8</v>
      </c>
      <c r="E976"/>
      <c r="F976">
        <v>1024</v>
      </c>
      <c r="G976">
        <v>48</v>
      </c>
      <c r="H976"/>
      <c r="I976">
        <v>4500</v>
      </c>
      <c r="J976">
        <v>6.9</v>
      </c>
      <c r="K976">
        <v>100</v>
      </c>
      <c r="L976" t="s">
        <v>17</v>
      </c>
      <c r="M976" t="s">
        <v>18</v>
      </c>
      <c r="N976" t="s">
        <v>35</v>
      </c>
      <c r="O976">
        <v>5</v>
      </c>
      <c r="P976" t="s">
        <v>42</v>
      </c>
      <c r="Q976">
        <v>2025</v>
      </c>
    </row>
    <row r="977" spans="1:17" hidden="1" x14ac:dyDescent="0.3">
      <c r="A977" t="s">
        <v>66</v>
      </c>
      <c r="B977" t="s">
        <v>269</v>
      </c>
      <c r="C977">
        <v>469</v>
      </c>
      <c r="D977">
        <v>8</v>
      </c>
      <c r="E977"/>
      <c r="F977">
        <v>512</v>
      </c>
      <c r="G977">
        <v>50</v>
      </c>
      <c r="H977"/>
      <c r="I977">
        <v>6000</v>
      </c>
      <c r="J977">
        <v>6.6</v>
      </c>
      <c r="K977">
        <v>100</v>
      </c>
      <c r="L977" t="s">
        <v>38</v>
      </c>
      <c r="M977" t="s">
        <v>18</v>
      </c>
      <c r="N977" t="s">
        <v>31</v>
      </c>
      <c r="O977">
        <v>5</v>
      </c>
      <c r="P977" t="s">
        <v>71</v>
      </c>
      <c r="Q977">
        <v>2025</v>
      </c>
    </row>
    <row r="978" spans="1:17" hidden="1" x14ac:dyDescent="0.3">
      <c r="A978" t="s">
        <v>15</v>
      </c>
      <c r="B978" t="s">
        <v>356</v>
      </c>
      <c r="C978">
        <v>691</v>
      </c>
      <c r="D978">
        <v>8</v>
      </c>
      <c r="E978"/>
      <c r="F978">
        <v>1024</v>
      </c>
      <c r="G978">
        <v>200</v>
      </c>
      <c r="H978"/>
      <c r="I978">
        <v>6000</v>
      </c>
      <c r="J978">
        <v>6.7</v>
      </c>
      <c r="K978">
        <v>18</v>
      </c>
      <c r="L978" t="s">
        <v>17</v>
      </c>
      <c r="M978" t="s">
        <v>18</v>
      </c>
      <c r="N978" t="s">
        <v>35</v>
      </c>
      <c r="O978">
        <v>5</v>
      </c>
      <c r="P978" t="s">
        <v>71</v>
      </c>
      <c r="Q978">
        <v>2025</v>
      </c>
    </row>
    <row r="979" spans="1:17" hidden="1" x14ac:dyDescent="0.3">
      <c r="A979" t="s">
        <v>29</v>
      </c>
      <c r="B979" t="s">
        <v>505</v>
      </c>
      <c r="C979">
        <v>1315</v>
      </c>
      <c r="D979">
        <v>8</v>
      </c>
      <c r="E979"/>
      <c r="F979">
        <v>256</v>
      </c>
      <c r="G979">
        <v>48</v>
      </c>
      <c r="H979"/>
      <c r="I979">
        <v>4500</v>
      </c>
      <c r="J979">
        <v>5.6</v>
      </c>
      <c r="K979">
        <v>33</v>
      </c>
      <c r="L979" t="s">
        <v>17</v>
      </c>
      <c r="M979" t="s">
        <v>18</v>
      </c>
      <c r="N979" t="s">
        <v>19</v>
      </c>
      <c r="O979">
        <v>5</v>
      </c>
      <c r="P979" t="s">
        <v>24</v>
      </c>
      <c r="Q979">
        <v>2025</v>
      </c>
    </row>
    <row r="980" spans="1:17" hidden="1" x14ac:dyDescent="0.3">
      <c r="A980" t="s">
        <v>40</v>
      </c>
      <c r="B980" t="s">
        <v>705</v>
      </c>
      <c r="C980">
        <v>1294</v>
      </c>
      <c r="D980">
        <v>8</v>
      </c>
      <c r="E980"/>
      <c r="F980">
        <v>256</v>
      </c>
      <c r="G980">
        <v>64</v>
      </c>
      <c r="H980"/>
      <c r="I980">
        <v>4000</v>
      </c>
      <c r="J980">
        <v>5.5</v>
      </c>
      <c r="K980">
        <v>65</v>
      </c>
      <c r="L980" t="s">
        <v>38</v>
      </c>
      <c r="M980" t="s">
        <v>18</v>
      </c>
      <c r="N980" t="s">
        <v>61</v>
      </c>
      <c r="O980">
        <v>5</v>
      </c>
      <c r="P980" t="s">
        <v>28</v>
      </c>
      <c r="Q980">
        <v>2025</v>
      </c>
    </row>
    <row r="981" spans="1:17" x14ac:dyDescent="0.3">
      <c r="A981" t="s">
        <v>36</v>
      </c>
      <c r="B981" t="s">
        <v>905</v>
      </c>
      <c r="C981">
        <v>609</v>
      </c>
      <c r="D981">
        <v>8</v>
      </c>
      <c r="E981" s="8">
        <f t="shared" ref="E981:E982" si="92">C981/D981</f>
        <v>76.125</v>
      </c>
      <c r="F981">
        <v>64</v>
      </c>
      <c r="G981">
        <v>108</v>
      </c>
      <c r="H981" s="8">
        <f t="shared" ref="H981:H982" si="93">C981/G981</f>
        <v>5.6388888888888893</v>
      </c>
      <c r="I981">
        <v>6000</v>
      </c>
      <c r="J981">
        <v>6.2</v>
      </c>
      <c r="K981">
        <v>44</v>
      </c>
      <c r="L981" t="s">
        <v>38</v>
      </c>
      <c r="M981" t="s">
        <v>18</v>
      </c>
      <c r="N981" t="s">
        <v>61</v>
      </c>
      <c r="O981">
        <v>5</v>
      </c>
      <c r="P981" t="s">
        <v>20</v>
      </c>
      <c r="Q981">
        <v>2025</v>
      </c>
    </row>
    <row r="982" spans="1:17" x14ac:dyDescent="0.3">
      <c r="A982" t="s">
        <v>21</v>
      </c>
      <c r="B982" t="s">
        <v>399</v>
      </c>
      <c r="C982">
        <v>502</v>
      </c>
      <c r="D982">
        <v>12</v>
      </c>
      <c r="E982" s="8">
        <f t="shared" si="92"/>
        <v>41.833333333333336</v>
      </c>
      <c r="F982">
        <v>64</v>
      </c>
      <c r="G982">
        <v>108</v>
      </c>
      <c r="H982" s="8">
        <f t="shared" si="93"/>
        <v>4.6481481481481479</v>
      </c>
      <c r="I982">
        <v>4500</v>
      </c>
      <c r="J982">
        <v>6.2</v>
      </c>
      <c r="K982">
        <v>65</v>
      </c>
      <c r="L982" t="s">
        <v>38</v>
      </c>
      <c r="M982" t="s">
        <v>18</v>
      </c>
      <c r="N982" t="s">
        <v>31</v>
      </c>
      <c r="O982">
        <v>5</v>
      </c>
      <c r="P982" t="s">
        <v>56</v>
      </c>
      <c r="Q982">
        <v>2025</v>
      </c>
    </row>
    <row r="983" spans="1:17" hidden="1" x14ac:dyDescent="0.3">
      <c r="A983" t="s">
        <v>40</v>
      </c>
      <c r="B983" t="s">
        <v>1014</v>
      </c>
      <c r="C983">
        <v>1222</v>
      </c>
      <c r="D983">
        <v>8</v>
      </c>
      <c r="E983"/>
      <c r="F983">
        <v>1024</v>
      </c>
      <c r="G983">
        <v>48</v>
      </c>
      <c r="H983"/>
      <c r="I983">
        <v>4000</v>
      </c>
      <c r="J983">
        <v>6.4</v>
      </c>
      <c r="K983">
        <v>120</v>
      </c>
      <c r="L983" t="s">
        <v>17</v>
      </c>
      <c r="M983" t="s">
        <v>18</v>
      </c>
      <c r="N983" t="s">
        <v>48</v>
      </c>
      <c r="O983">
        <v>5</v>
      </c>
      <c r="P983" t="s">
        <v>56</v>
      </c>
      <c r="Q983">
        <v>2025</v>
      </c>
    </row>
    <row r="984" spans="1:17" hidden="1" x14ac:dyDescent="0.3">
      <c r="A984" t="s">
        <v>21</v>
      </c>
      <c r="B984" t="s">
        <v>247</v>
      </c>
      <c r="C984">
        <v>111</v>
      </c>
      <c r="D984">
        <v>12</v>
      </c>
      <c r="E984"/>
      <c r="F984">
        <v>1024</v>
      </c>
      <c r="G984">
        <v>50</v>
      </c>
      <c r="H984"/>
      <c r="I984">
        <v>5500</v>
      </c>
      <c r="J984">
        <v>6.7</v>
      </c>
      <c r="K984">
        <v>44</v>
      </c>
      <c r="L984" t="s">
        <v>38</v>
      </c>
      <c r="M984" t="s">
        <v>18</v>
      </c>
      <c r="N984" t="s">
        <v>31</v>
      </c>
      <c r="O984">
        <v>5</v>
      </c>
      <c r="P984" t="s">
        <v>56</v>
      </c>
      <c r="Q984">
        <v>2025</v>
      </c>
    </row>
    <row r="985" spans="1:17" hidden="1" x14ac:dyDescent="0.3">
      <c r="A985" t="s">
        <v>32</v>
      </c>
      <c r="B985" t="s">
        <v>335</v>
      </c>
      <c r="C985">
        <v>1477</v>
      </c>
      <c r="D985">
        <v>12</v>
      </c>
      <c r="E985"/>
      <c r="F985">
        <v>512</v>
      </c>
      <c r="G985">
        <v>200</v>
      </c>
      <c r="H985"/>
      <c r="I985">
        <v>6000</v>
      </c>
      <c r="J985">
        <v>5.7</v>
      </c>
      <c r="K985">
        <v>18</v>
      </c>
      <c r="L985" t="s">
        <v>38</v>
      </c>
      <c r="M985" t="s">
        <v>34</v>
      </c>
      <c r="N985" t="s">
        <v>35</v>
      </c>
      <c r="O985">
        <v>5</v>
      </c>
      <c r="P985" t="s">
        <v>24</v>
      </c>
      <c r="Q985">
        <v>2025</v>
      </c>
    </row>
    <row r="986" spans="1:17" hidden="1" x14ac:dyDescent="0.3">
      <c r="A986" t="s">
        <v>15</v>
      </c>
      <c r="B986" t="s">
        <v>422</v>
      </c>
      <c r="C986">
        <v>880</v>
      </c>
      <c r="D986">
        <v>12</v>
      </c>
      <c r="E986" s="8">
        <f>C986/D986</f>
        <v>73.333333333333329</v>
      </c>
      <c r="F986">
        <v>512</v>
      </c>
      <c r="G986">
        <v>50</v>
      </c>
      <c r="H986" s="8">
        <f>C986/G986</f>
        <v>17.600000000000001</v>
      </c>
      <c r="I986">
        <v>4500</v>
      </c>
      <c r="J986">
        <v>6.5</v>
      </c>
      <c r="K986">
        <v>65</v>
      </c>
      <c r="L986" t="s">
        <v>17</v>
      </c>
      <c r="M986" t="s">
        <v>18</v>
      </c>
      <c r="N986" t="s">
        <v>23</v>
      </c>
      <c r="O986">
        <v>5</v>
      </c>
      <c r="P986" t="s">
        <v>28</v>
      </c>
      <c r="Q986">
        <v>2025</v>
      </c>
    </row>
    <row r="987" spans="1:17" hidden="1" x14ac:dyDescent="0.3">
      <c r="A987" t="s">
        <v>21</v>
      </c>
      <c r="B987" t="s">
        <v>425</v>
      </c>
      <c r="C987">
        <v>234</v>
      </c>
      <c r="D987">
        <v>12</v>
      </c>
      <c r="E987"/>
      <c r="F987">
        <v>128</v>
      </c>
      <c r="G987">
        <v>200</v>
      </c>
      <c r="H987"/>
      <c r="I987">
        <v>6000</v>
      </c>
      <c r="J987">
        <v>6.3</v>
      </c>
      <c r="K987">
        <v>100</v>
      </c>
      <c r="L987" t="s">
        <v>17</v>
      </c>
      <c r="M987" t="s">
        <v>18</v>
      </c>
      <c r="N987" t="s">
        <v>19</v>
      </c>
      <c r="O987">
        <v>5</v>
      </c>
      <c r="P987" t="s">
        <v>56</v>
      </c>
      <c r="Q987">
        <v>2025</v>
      </c>
    </row>
    <row r="988" spans="1:17" hidden="1" x14ac:dyDescent="0.3">
      <c r="A988" t="s">
        <v>66</v>
      </c>
      <c r="B988" t="s">
        <v>448</v>
      </c>
      <c r="C988">
        <v>383</v>
      </c>
      <c r="D988">
        <v>12</v>
      </c>
      <c r="E988"/>
      <c r="F988">
        <v>512</v>
      </c>
      <c r="G988">
        <v>50</v>
      </c>
      <c r="H988"/>
      <c r="I988">
        <v>4500</v>
      </c>
      <c r="J988">
        <v>6.4</v>
      </c>
      <c r="K988">
        <v>18</v>
      </c>
      <c r="L988" t="s">
        <v>38</v>
      </c>
      <c r="M988" t="s">
        <v>18</v>
      </c>
      <c r="N988" t="s">
        <v>23</v>
      </c>
      <c r="O988">
        <v>5</v>
      </c>
      <c r="P988" t="s">
        <v>44</v>
      </c>
      <c r="Q988">
        <v>2025</v>
      </c>
    </row>
    <row r="989" spans="1:17" hidden="1" x14ac:dyDescent="0.3">
      <c r="A989" t="s">
        <v>36</v>
      </c>
      <c r="B989" t="s">
        <v>531</v>
      </c>
      <c r="C989">
        <v>291</v>
      </c>
      <c r="D989">
        <v>12</v>
      </c>
      <c r="E989"/>
      <c r="F989">
        <v>64</v>
      </c>
      <c r="G989">
        <v>50</v>
      </c>
      <c r="H989"/>
      <c r="I989">
        <v>6000</v>
      </c>
      <c r="J989">
        <v>6.1</v>
      </c>
      <c r="K989">
        <v>33</v>
      </c>
      <c r="L989" t="s">
        <v>38</v>
      </c>
      <c r="M989" t="s">
        <v>18</v>
      </c>
      <c r="N989" t="s">
        <v>23</v>
      </c>
      <c r="O989">
        <v>5</v>
      </c>
      <c r="P989" t="s">
        <v>39</v>
      </c>
      <c r="Q989">
        <v>2025</v>
      </c>
    </row>
    <row r="990" spans="1:17" x14ac:dyDescent="0.3">
      <c r="A990" t="s">
        <v>49</v>
      </c>
      <c r="B990" t="s">
        <v>88</v>
      </c>
      <c r="C990">
        <v>1084</v>
      </c>
      <c r="D990">
        <v>6</v>
      </c>
      <c r="E990" s="8">
        <f>C990/D990</f>
        <v>180.66666666666666</v>
      </c>
      <c r="F990">
        <v>128</v>
      </c>
      <c r="G990">
        <v>50</v>
      </c>
      <c r="H990" s="8">
        <f>C990/G990</f>
        <v>21.68</v>
      </c>
      <c r="I990">
        <v>6000</v>
      </c>
      <c r="J990">
        <v>6.6</v>
      </c>
      <c r="K990">
        <v>65</v>
      </c>
      <c r="L990" t="s">
        <v>38</v>
      </c>
      <c r="M990" t="s">
        <v>18</v>
      </c>
      <c r="N990" t="s">
        <v>48</v>
      </c>
      <c r="O990">
        <v>5</v>
      </c>
      <c r="P990" t="s">
        <v>56</v>
      </c>
      <c r="Q990">
        <v>2025</v>
      </c>
    </row>
    <row r="991" spans="1:17" hidden="1" x14ac:dyDescent="0.3">
      <c r="A991" t="s">
        <v>40</v>
      </c>
      <c r="B991" t="s">
        <v>680</v>
      </c>
      <c r="C991">
        <v>836</v>
      </c>
      <c r="D991">
        <v>12</v>
      </c>
      <c r="E991"/>
      <c r="F991">
        <v>128</v>
      </c>
      <c r="G991">
        <v>50</v>
      </c>
      <c r="H991"/>
      <c r="I991">
        <v>6000</v>
      </c>
      <c r="J991">
        <v>6.8</v>
      </c>
      <c r="K991">
        <v>33</v>
      </c>
      <c r="L991" t="s">
        <v>17</v>
      </c>
      <c r="M991" t="s">
        <v>18</v>
      </c>
      <c r="N991" t="s">
        <v>23</v>
      </c>
      <c r="O991">
        <v>5</v>
      </c>
      <c r="P991" t="s">
        <v>39</v>
      </c>
      <c r="Q991">
        <v>2025</v>
      </c>
    </row>
    <row r="992" spans="1:17" hidden="1" x14ac:dyDescent="0.3">
      <c r="A992" t="s">
        <v>21</v>
      </c>
      <c r="B992" t="s">
        <v>763</v>
      </c>
      <c r="C992">
        <v>1271</v>
      </c>
      <c r="D992">
        <v>12</v>
      </c>
      <c r="E992"/>
      <c r="F992">
        <v>64</v>
      </c>
      <c r="G992">
        <v>48</v>
      </c>
      <c r="H992"/>
      <c r="I992">
        <v>5500</v>
      </c>
      <c r="J992">
        <v>6.7</v>
      </c>
      <c r="K992">
        <v>100</v>
      </c>
      <c r="L992" t="s">
        <v>38</v>
      </c>
      <c r="M992" t="s">
        <v>18</v>
      </c>
      <c r="N992" t="s">
        <v>31</v>
      </c>
      <c r="O992">
        <v>5</v>
      </c>
      <c r="P992" t="s">
        <v>28</v>
      </c>
      <c r="Q992">
        <v>2025</v>
      </c>
    </row>
    <row r="993" spans="1:17" hidden="1" x14ac:dyDescent="0.3">
      <c r="A993" t="s">
        <v>36</v>
      </c>
      <c r="B993" t="s">
        <v>765</v>
      </c>
      <c r="C993">
        <v>833</v>
      </c>
      <c r="D993">
        <v>12</v>
      </c>
      <c r="E993"/>
      <c r="F993">
        <v>256</v>
      </c>
      <c r="G993">
        <v>108</v>
      </c>
      <c r="H993"/>
      <c r="I993">
        <v>5500</v>
      </c>
      <c r="J993">
        <v>6.7</v>
      </c>
      <c r="K993">
        <v>44</v>
      </c>
      <c r="L993" t="s">
        <v>17</v>
      </c>
      <c r="M993" t="s">
        <v>18</v>
      </c>
      <c r="N993" t="s">
        <v>61</v>
      </c>
      <c r="O993">
        <v>5</v>
      </c>
      <c r="P993" t="s">
        <v>42</v>
      </c>
      <c r="Q993">
        <v>2025</v>
      </c>
    </row>
    <row r="994" spans="1:17" hidden="1" x14ac:dyDescent="0.3">
      <c r="A994" t="s">
        <v>49</v>
      </c>
      <c r="B994" t="s">
        <v>430</v>
      </c>
      <c r="C994">
        <v>1349</v>
      </c>
      <c r="D994">
        <v>12</v>
      </c>
      <c r="E994"/>
      <c r="F994">
        <v>1024</v>
      </c>
      <c r="G994">
        <v>200</v>
      </c>
      <c r="H994"/>
      <c r="I994">
        <v>5500</v>
      </c>
      <c r="J994">
        <v>5.9</v>
      </c>
      <c r="K994">
        <v>100</v>
      </c>
      <c r="L994" t="s">
        <v>17</v>
      </c>
      <c r="M994" t="s">
        <v>18</v>
      </c>
      <c r="N994" t="s">
        <v>35</v>
      </c>
      <c r="O994">
        <v>5</v>
      </c>
      <c r="P994" t="s">
        <v>39</v>
      </c>
      <c r="Q994">
        <v>2025</v>
      </c>
    </row>
    <row r="995" spans="1:17" hidden="1" x14ac:dyDescent="0.3">
      <c r="A995" t="s">
        <v>21</v>
      </c>
      <c r="B995" t="s">
        <v>798</v>
      </c>
      <c r="C995">
        <v>939</v>
      </c>
      <c r="D995">
        <v>12</v>
      </c>
      <c r="E995"/>
      <c r="F995">
        <v>512</v>
      </c>
      <c r="G995">
        <v>200</v>
      </c>
      <c r="H995"/>
      <c r="I995">
        <v>5500</v>
      </c>
      <c r="J995">
        <v>6.5</v>
      </c>
      <c r="K995">
        <v>100</v>
      </c>
      <c r="L995" t="s">
        <v>17</v>
      </c>
      <c r="M995" t="s">
        <v>18</v>
      </c>
      <c r="N995" t="s">
        <v>61</v>
      </c>
      <c r="O995">
        <v>5</v>
      </c>
      <c r="P995" t="s">
        <v>56</v>
      </c>
      <c r="Q995">
        <v>2025</v>
      </c>
    </row>
    <row r="996" spans="1:17" hidden="1" x14ac:dyDescent="0.3">
      <c r="A996" t="s">
        <v>40</v>
      </c>
      <c r="B996" t="s">
        <v>886</v>
      </c>
      <c r="C996">
        <v>1221</v>
      </c>
      <c r="D996">
        <v>12</v>
      </c>
      <c r="E996"/>
      <c r="F996">
        <v>512</v>
      </c>
      <c r="G996">
        <v>12</v>
      </c>
      <c r="H996"/>
      <c r="I996">
        <v>5500</v>
      </c>
      <c r="J996">
        <v>5.9</v>
      </c>
      <c r="K996">
        <v>120</v>
      </c>
      <c r="L996" t="s">
        <v>17</v>
      </c>
      <c r="M996" t="s">
        <v>18</v>
      </c>
      <c r="N996" t="s">
        <v>51</v>
      </c>
      <c r="O996">
        <v>5</v>
      </c>
      <c r="P996" t="s">
        <v>24</v>
      </c>
      <c r="Q996">
        <v>2025</v>
      </c>
    </row>
    <row r="997" spans="1:17" hidden="1" x14ac:dyDescent="0.3">
      <c r="A997" t="s">
        <v>29</v>
      </c>
      <c r="B997" t="s">
        <v>894</v>
      </c>
      <c r="C997">
        <v>857</v>
      </c>
      <c r="D997">
        <v>12</v>
      </c>
      <c r="E997"/>
      <c r="F997">
        <v>64</v>
      </c>
      <c r="G997">
        <v>64</v>
      </c>
      <c r="H997"/>
      <c r="I997">
        <v>5000</v>
      </c>
      <c r="J997">
        <v>7</v>
      </c>
      <c r="K997">
        <v>120</v>
      </c>
      <c r="L997" t="s">
        <v>38</v>
      </c>
      <c r="M997" t="s">
        <v>18</v>
      </c>
      <c r="N997" t="s">
        <v>31</v>
      </c>
      <c r="O997">
        <v>5</v>
      </c>
      <c r="P997" t="s">
        <v>82</v>
      </c>
      <c r="Q997">
        <v>2025</v>
      </c>
    </row>
    <row r="998" spans="1:17" hidden="1" x14ac:dyDescent="0.3">
      <c r="A998" t="s">
        <v>36</v>
      </c>
      <c r="B998" t="s">
        <v>63</v>
      </c>
      <c r="C998">
        <v>127</v>
      </c>
      <c r="D998">
        <v>16</v>
      </c>
      <c r="E998"/>
      <c r="F998">
        <v>256</v>
      </c>
      <c r="G998">
        <v>200</v>
      </c>
      <c r="H998"/>
      <c r="I998">
        <v>5500</v>
      </c>
      <c r="J998">
        <v>5.7</v>
      </c>
      <c r="K998">
        <v>44</v>
      </c>
      <c r="L998" t="s">
        <v>17</v>
      </c>
      <c r="M998" t="s">
        <v>18</v>
      </c>
      <c r="N998" t="s">
        <v>61</v>
      </c>
      <c r="O998">
        <v>5</v>
      </c>
      <c r="P998" t="s">
        <v>64</v>
      </c>
      <c r="Q998">
        <v>2025</v>
      </c>
    </row>
    <row r="999" spans="1:17" hidden="1" x14ac:dyDescent="0.3">
      <c r="A999" t="s">
        <v>49</v>
      </c>
      <c r="B999" t="s">
        <v>72</v>
      </c>
      <c r="C999">
        <v>238</v>
      </c>
      <c r="D999">
        <v>16</v>
      </c>
      <c r="E999"/>
      <c r="F999">
        <v>1024</v>
      </c>
      <c r="G999">
        <v>108</v>
      </c>
      <c r="H999"/>
      <c r="I999">
        <v>5000</v>
      </c>
      <c r="J999">
        <v>6.1</v>
      </c>
      <c r="K999">
        <v>33</v>
      </c>
      <c r="L999" t="s">
        <v>38</v>
      </c>
      <c r="M999" t="s">
        <v>18</v>
      </c>
      <c r="N999" t="s">
        <v>51</v>
      </c>
      <c r="O999">
        <v>5</v>
      </c>
      <c r="P999" t="s">
        <v>44</v>
      </c>
      <c r="Q999">
        <v>2025</v>
      </c>
    </row>
    <row r="1000" spans="1:17" x14ac:dyDescent="0.3">
      <c r="A1000" t="s">
        <v>21</v>
      </c>
      <c r="B1000" t="s">
        <v>601</v>
      </c>
      <c r="C1000">
        <v>830</v>
      </c>
      <c r="D1000">
        <v>4</v>
      </c>
      <c r="E1000" s="8">
        <f>C1000/D1000</f>
        <v>207.5</v>
      </c>
      <c r="F1000">
        <v>512</v>
      </c>
      <c r="G1000">
        <v>48</v>
      </c>
      <c r="H1000" s="8">
        <f>C1000/G1000</f>
        <v>17.291666666666668</v>
      </c>
      <c r="I1000">
        <v>4500</v>
      </c>
      <c r="J1000">
        <v>6.8</v>
      </c>
      <c r="K1000">
        <v>120</v>
      </c>
      <c r="L1000" t="s">
        <v>38</v>
      </c>
      <c r="M1000" t="s">
        <v>18</v>
      </c>
      <c r="N1000" t="s">
        <v>51</v>
      </c>
      <c r="O1000">
        <v>5</v>
      </c>
      <c r="P1000" t="s">
        <v>82</v>
      </c>
      <c r="Q1000">
        <v>2025</v>
      </c>
    </row>
    <row r="1001" spans="1:17" hidden="1" x14ac:dyDescent="0.3">
      <c r="A1001" t="s">
        <v>25</v>
      </c>
      <c r="B1001" t="s">
        <v>840</v>
      </c>
      <c r="C1001">
        <v>1381</v>
      </c>
      <c r="D1001">
        <v>16</v>
      </c>
      <c r="E1001"/>
      <c r="F1001">
        <v>256</v>
      </c>
      <c r="G1001">
        <v>200</v>
      </c>
      <c r="H1001"/>
      <c r="I1001">
        <v>5500</v>
      </c>
      <c r="J1001">
        <v>5.6</v>
      </c>
      <c r="K1001">
        <v>65</v>
      </c>
      <c r="L1001" t="s">
        <v>38</v>
      </c>
      <c r="M1001" t="s">
        <v>18</v>
      </c>
      <c r="N1001" t="s">
        <v>35</v>
      </c>
      <c r="O1001">
        <v>5</v>
      </c>
      <c r="P1001" t="s">
        <v>39</v>
      </c>
      <c r="Q1001">
        <v>2025</v>
      </c>
    </row>
  </sheetData>
  <autoFilter ref="A1:Q1001" xr:uid="{4CF9BFBB-BCF5-4E2C-8053-9E7A1B5A6CEC}">
    <filterColumn colId="2">
      <filters>
        <filter val="1003"/>
        <filter val="1004"/>
        <filter val="1005"/>
        <filter val="1007"/>
        <filter val="1008"/>
        <filter val="1009"/>
        <filter val="101"/>
        <filter val="1011"/>
        <filter val="1012"/>
        <filter val="1014"/>
        <filter val="1019"/>
        <filter val="102"/>
        <filter val="1020"/>
        <filter val="1021"/>
        <filter val="1022"/>
        <filter val="1025"/>
        <filter val="1032"/>
        <filter val="1033"/>
        <filter val="1034"/>
        <filter val="1038"/>
        <filter val="1039"/>
        <filter val="1040"/>
        <filter val="1042"/>
        <filter val="1043"/>
        <filter val="1044"/>
        <filter val="1045"/>
        <filter val="1047"/>
        <filter val="1048"/>
        <filter val="1049"/>
        <filter val="105"/>
        <filter val="1050"/>
        <filter val="1052"/>
        <filter val="1053"/>
        <filter val="1057"/>
        <filter val="1058"/>
        <filter val="1059"/>
        <filter val="1060"/>
        <filter val="1061"/>
        <filter val="1062"/>
        <filter val="1064"/>
        <filter val="1065"/>
        <filter val="1067"/>
        <filter val="1068"/>
        <filter val="1069"/>
        <filter val="107"/>
        <filter val="1072"/>
        <filter val="1074"/>
        <filter val="1075"/>
        <filter val="1077"/>
        <filter val="1078"/>
        <filter val="1079"/>
        <filter val="1080"/>
        <filter val="1083"/>
        <filter val="1084"/>
        <filter val="1085"/>
        <filter val="1087"/>
        <filter val="1088"/>
        <filter val="109"/>
        <filter val="1090"/>
        <filter val="1093"/>
        <filter val="1094"/>
        <filter val="1095"/>
        <filter val="1098"/>
        <filter val="110"/>
        <filter val="1100"/>
        <filter val="1103"/>
        <filter val="1106"/>
        <filter val="1107"/>
        <filter val="1109"/>
        <filter val="1140"/>
        <filter val="1150"/>
        <filter val="1160"/>
        <filter val="1170"/>
        <filter val="1190"/>
        <filter val="1204"/>
        <filter val="1206"/>
        <filter val="1209"/>
        <filter val="1210"/>
        <filter val="1220"/>
        <filter val="1230"/>
        <filter val="1250"/>
        <filter val="130"/>
        <filter val="1300"/>
        <filter val="1301"/>
        <filter val="1302"/>
        <filter val="1303"/>
        <filter val="1309"/>
        <filter val="1320"/>
        <filter val="1340"/>
        <filter val="1350"/>
        <filter val="1360"/>
        <filter val="1400"/>
        <filter val="1403"/>
        <filter val="1404"/>
        <filter val="1405"/>
        <filter val="1406"/>
        <filter val="1408"/>
        <filter val="1409"/>
        <filter val="1410"/>
        <filter val="1420"/>
        <filter val="1430"/>
        <filter val="1450"/>
        <filter val="1460"/>
        <filter val="1470"/>
        <filter val="1480"/>
        <filter val="170"/>
        <filter val="202"/>
        <filter val="204"/>
        <filter val="205"/>
        <filter val="208"/>
        <filter val="209"/>
        <filter val="210"/>
        <filter val="230"/>
        <filter val="270"/>
        <filter val="290"/>
        <filter val="300"/>
        <filter val="302"/>
        <filter val="304"/>
        <filter val="307"/>
        <filter val="310"/>
        <filter val="320"/>
        <filter val="350"/>
        <filter val="360"/>
        <filter val="380"/>
        <filter val="400"/>
        <filter val="402"/>
        <filter val="404"/>
        <filter val="405"/>
        <filter val="406"/>
        <filter val="408"/>
        <filter val="410"/>
        <filter val="440"/>
        <filter val="450"/>
        <filter val="460"/>
        <filter val="501"/>
        <filter val="502"/>
        <filter val="503"/>
        <filter val="506"/>
        <filter val="508"/>
        <filter val="510"/>
        <filter val="520"/>
        <filter val="540"/>
        <filter val="560"/>
        <filter val="600"/>
        <filter val="602"/>
        <filter val="604"/>
        <filter val="607"/>
        <filter val="609"/>
        <filter val="610"/>
        <filter val="640"/>
        <filter val="650"/>
        <filter val="660"/>
        <filter val="670"/>
        <filter val="701"/>
        <filter val="702"/>
        <filter val="703"/>
        <filter val="706"/>
        <filter val="707"/>
        <filter val="709"/>
        <filter val="730"/>
        <filter val="760"/>
        <filter val="770"/>
        <filter val="790"/>
        <filter val="800"/>
        <filter val="803"/>
        <filter val="804"/>
        <filter val="808"/>
        <filter val="809"/>
        <filter val="820"/>
        <filter val="830"/>
        <filter val="840"/>
        <filter val="850"/>
        <filter val="880"/>
        <filter val="890"/>
        <filter val="900"/>
        <filter val="901"/>
        <filter val="909"/>
        <filter val="910"/>
        <filter val="920"/>
        <filter val="930"/>
        <filter val="980"/>
      </filters>
    </filterColumn>
    <filterColumn colId="11">
      <filters>
        <filter val="No"/>
      </filters>
    </filterColumn>
    <sortState xmlns:xlrd2="http://schemas.microsoft.com/office/spreadsheetml/2017/richdata2" ref="A5:Q1000">
      <sortCondition ref="O1:O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DE65-CBA0-4D16-ADA3-EDD8FB48E3AD}">
  <dimension ref="A1:D14"/>
  <sheetViews>
    <sheetView tabSelected="1" workbookViewId="0">
      <selection activeCell="A13" sqref="A13:B13"/>
    </sheetView>
  </sheetViews>
  <sheetFormatPr defaultRowHeight="14.4" x14ac:dyDescent="0.3"/>
  <cols>
    <col min="1" max="1" width="15.77734375" customWidth="1"/>
    <col min="2" max="2" width="12.33203125" customWidth="1"/>
    <col min="3" max="3" width="13.109375" customWidth="1"/>
    <col min="4" max="4" width="22.109375" customWidth="1"/>
  </cols>
  <sheetData>
    <row r="1" spans="1:4" x14ac:dyDescent="0.3">
      <c r="A1" t="s">
        <v>1057</v>
      </c>
    </row>
    <row r="2" spans="1:4" ht="15" thickBot="1" x14ac:dyDescent="0.35"/>
    <row r="3" spans="1:4" x14ac:dyDescent="0.3">
      <c r="A3" s="5"/>
      <c r="B3" s="5" t="s">
        <v>1058</v>
      </c>
      <c r="C3" s="5" t="s">
        <v>1059</v>
      </c>
    </row>
    <row r="4" spans="1:4" x14ac:dyDescent="0.3">
      <c r="A4" s="3" t="s">
        <v>1040</v>
      </c>
      <c r="B4" s="3">
        <v>907.08730158730157</v>
      </c>
      <c r="C4" s="3">
        <v>845.33057851239664</v>
      </c>
    </row>
    <row r="5" spans="1:4" x14ac:dyDescent="0.3">
      <c r="A5" s="3" t="s">
        <v>1060</v>
      </c>
      <c r="B5" s="3">
        <v>135876.19231746029</v>
      </c>
      <c r="C5" s="3">
        <v>134930.22314049589</v>
      </c>
    </row>
    <row r="6" spans="1:4" x14ac:dyDescent="0.3">
      <c r="A6" s="3" t="s">
        <v>1061</v>
      </c>
      <c r="B6" s="3">
        <v>126</v>
      </c>
      <c r="C6" s="3">
        <v>121</v>
      </c>
    </row>
    <row r="7" spans="1:4" x14ac:dyDescent="0.3">
      <c r="A7" s="3" t="s">
        <v>1062</v>
      </c>
      <c r="B7" s="3">
        <v>135412.86047568181</v>
      </c>
      <c r="C7" s="3"/>
    </row>
    <row r="8" spans="1:4" x14ac:dyDescent="0.3">
      <c r="A8" s="3" t="s">
        <v>1063</v>
      </c>
      <c r="B8" s="3">
        <v>0</v>
      </c>
      <c r="C8" s="3"/>
    </row>
    <row r="9" spans="1:4" x14ac:dyDescent="0.3">
      <c r="A9" s="3" t="s">
        <v>1064</v>
      </c>
      <c r="B9" s="3">
        <v>245</v>
      </c>
      <c r="C9" s="3"/>
    </row>
    <row r="10" spans="1:4" x14ac:dyDescent="0.3">
      <c r="A10" s="3" t="s">
        <v>1065</v>
      </c>
      <c r="B10" s="3">
        <v>1.3185110336288952</v>
      </c>
      <c r="C10" s="3"/>
    </row>
    <row r="11" spans="1:4" x14ac:dyDescent="0.3">
      <c r="A11" s="3" t="s">
        <v>1066</v>
      </c>
      <c r="B11" s="3">
        <v>9.4281933502133625E-2</v>
      </c>
      <c r="C11" s="3"/>
    </row>
    <row r="12" spans="1:4" x14ac:dyDescent="0.3">
      <c r="A12" s="3" t="s">
        <v>1067</v>
      </c>
      <c r="B12" s="3">
        <v>1.6510968200148719</v>
      </c>
      <c r="C12" s="3"/>
    </row>
    <row r="13" spans="1:4" ht="187.2" x14ac:dyDescent="0.3">
      <c r="A13" s="3" t="s">
        <v>1068</v>
      </c>
      <c r="B13" s="3">
        <v>0.18856386700426725</v>
      </c>
      <c r="C13" s="3"/>
      <c r="D13" s="9" t="s">
        <v>1070</v>
      </c>
    </row>
    <row r="14" spans="1:4" ht="15" thickBot="1" x14ac:dyDescent="0.35">
      <c r="A14" s="4" t="s">
        <v>1069</v>
      </c>
      <c r="B14" s="4">
        <v>1.9696939205435406</v>
      </c>
      <c r="C1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DEBB-2671-49F7-BD0F-5F47A239F8E7}">
  <dimension ref="A1:B127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4" customWidth="1"/>
    <col min="2" max="2" width="16.44140625" customWidth="1"/>
    <col min="3" max="3" width="15.6640625" customWidth="1"/>
    <col min="4" max="4" width="15.21875" customWidth="1"/>
    <col min="5" max="5" width="14.44140625" customWidth="1"/>
  </cols>
  <sheetData>
    <row r="1" spans="1:2" ht="15.6" x14ac:dyDescent="0.3">
      <c r="A1" s="1" t="s">
        <v>1055</v>
      </c>
      <c r="B1" s="2" t="s">
        <v>1056</v>
      </c>
    </row>
    <row r="2" spans="1:2" x14ac:dyDescent="0.3">
      <c r="A2">
        <v>920</v>
      </c>
      <c r="B2">
        <v>604</v>
      </c>
    </row>
    <row r="3" spans="1:2" x14ac:dyDescent="0.3">
      <c r="A3">
        <v>1420</v>
      </c>
      <c r="B3">
        <v>540</v>
      </c>
    </row>
    <row r="4" spans="1:2" x14ac:dyDescent="0.3">
      <c r="A4">
        <v>1011</v>
      </c>
      <c r="B4">
        <v>1033</v>
      </c>
    </row>
    <row r="5" spans="1:2" x14ac:dyDescent="0.3">
      <c r="A5">
        <v>450</v>
      </c>
      <c r="B5">
        <v>1058</v>
      </c>
    </row>
    <row r="6" spans="1:2" x14ac:dyDescent="0.3">
      <c r="A6">
        <v>790</v>
      </c>
      <c r="B6">
        <v>304</v>
      </c>
    </row>
    <row r="7" spans="1:2" x14ac:dyDescent="0.3">
      <c r="A7">
        <v>709</v>
      </c>
      <c r="B7">
        <v>1019</v>
      </c>
    </row>
    <row r="8" spans="1:2" x14ac:dyDescent="0.3">
      <c r="A8">
        <v>909</v>
      </c>
      <c r="B8">
        <v>1209</v>
      </c>
    </row>
    <row r="9" spans="1:2" x14ac:dyDescent="0.3">
      <c r="A9">
        <v>1406</v>
      </c>
      <c r="B9">
        <v>1109</v>
      </c>
    </row>
    <row r="10" spans="1:2" x14ac:dyDescent="0.3">
      <c r="A10">
        <v>1079</v>
      </c>
      <c r="B10">
        <v>1061</v>
      </c>
    </row>
    <row r="11" spans="1:2" x14ac:dyDescent="0.3">
      <c r="A11">
        <v>1300</v>
      </c>
      <c r="B11">
        <v>640</v>
      </c>
    </row>
    <row r="12" spans="1:2" x14ac:dyDescent="0.3">
      <c r="A12">
        <v>1100</v>
      </c>
      <c r="B12">
        <v>1042</v>
      </c>
    </row>
    <row r="13" spans="1:2" x14ac:dyDescent="0.3">
      <c r="A13">
        <v>1083</v>
      </c>
      <c r="B13">
        <v>980</v>
      </c>
    </row>
    <row r="14" spans="1:2" x14ac:dyDescent="0.3">
      <c r="A14">
        <v>1320</v>
      </c>
      <c r="B14">
        <v>230</v>
      </c>
    </row>
    <row r="15" spans="1:2" x14ac:dyDescent="0.3">
      <c r="A15">
        <v>900</v>
      </c>
      <c r="B15">
        <v>1040</v>
      </c>
    </row>
    <row r="16" spans="1:2" x14ac:dyDescent="0.3">
      <c r="A16">
        <v>1403</v>
      </c>
      <c r="B16">
        <v>1400</v>
      </c>
    </row>
    <row r="17" spans="1:2" x14ac:dyDescent="0.3">
      <c r="A17">
        <v>820</v>
      </c>
      <c r="B17">
        <v>820</v>
      </c>
    </row>
    <row r="18" spans="1:2" x14ac:dyDescent="0.3">
      <c r="A18">
        <v>405</v>
      </c>
      <c r="B18">
        <v>1480</v>
      </c>
    </row>
    <row r="19" spans="1:2" x14ac:dyDescent="0.3">
      <c r="A19">
        <v>1100</v>
      </c>
      <c r="B19">
        <v>501</v>
      </c>
    </row>
    <row r="20" spans="1:2" x14ac:dyDescent="0.3">
      <c r="A20">
        <v>1405</v>
      </c>
      <c r="B20">
        <v>202</v>
      </c>
    </row>
    <row r="21" spans="1:2" x14ac:dyDescent="0.3">
      <c r="A21">
        <v>1209</v>
      </c>
      <c r="B21">
        <v>290</v>
      </c>
    </row>
    <row r="22" spans="1:2" x14ac:dyDescent="0.3">
      <c r="A22">
        <v>1087</v>
      </c>
      <c r="B22">
        <v>1300</v>
      </c>
    </row>
    <row r="23" spans="1:2" x14ac:dyDescent="0.3">
      <c r="A23">
        <v>501</v>
      </c>
      <c r="B23">
        <v>1075</v>
      </c>
    </row>
    <row r="24" spans="1:2" x14ac:dyDescent="0.3">
      <c r="A24">
        <v>604</v>
      </c>
      <c r="B24">
        <v>1408</v>
      </c>
    </row>
    <row r="25" spans="1:2" x14ac:dyDescent="0.3">
      <c r="A25">
        <v>1303</v>
      </c>
      <c r="B25">
        <v>1034</v>
      </c>
    </row>
    <row r="26" spans="1:2" x14ac:dyDescent="0.3">
      <c r="A26">
        <v>1150</v>
      </c>
      <c r="B26">
        <v>560</v>
      </c>
    </row>
    <row r="27" spans="1:2" x14ac:dyDescent="0.3">
      <c r="A27">
        <v>600</v>
      </c>
      <c r="B27">
        <v>1406</v>
      </c>
    </row>
    <row r="28" spans="1:2" x14ac:dyDescent="0.3">
      <c r="A28">
        <v>502</v>
      </c>
      <c r="B28">
        <v>109</v>
      </c>
    </row>
    <row r="29" spans="1:2" x14ac:dyDescent="0.3">
      <c r="A29">
        <v>1204</v>
      </c>
      <c r="B29">
        <v>701</v>
      </c>
    </row>
    <row r="30" spans="1:2" x14ac:dyDescent="0.3">
      <c r="A30">
        <v>400</v>
      </c>
      <c r="B30">
        <v>909</v>
      </c>
    </row>
    <row r="31" spans="1:2" x14ac:dyDescent="0.3">
      <c r="A31">
        <v>803</v>
      </c>
      <c r="B31">
        <v>1050</v>
      </c>
    </row>
    <row r="32" spans="1:2" x14ac:dyDescent="0.3">
      <c r="A32">
        <v>1170</v>
      </c>
      <c r="B32">
        <v>1032</v>
      </c>
    </row>
    <row r="33" spans="1:2" x14ac:dyDescent="0.3">
      <c r="A33">
        <v>610</v>
      </c>
      <c r="B33">
        <v>730</v>
      </c>
    </row>
    <row r="34" spans="1:2" x14ac:dyDescent="0.3">
      <c r="A34">
        <v>210</v>
      </c>
      <c r="B34">
        <v>770</v>
      </c>
    </row>
    <row r="35" spans="1:2" x14ac:dyDescent="0.3">
      <c r="A35">
        <v>404</v>
      </c>
      <c r="B35">
        <v>101</v>
      </c>
    </row>
    <row r="36" spans="1:2" x14ac:dyDescent="0.3">
      <c r="A36">
        <v>706</v>
      </c>
      <c r="B36">
        <v>1034</v>
      </c>
    </row>
    <row r="37" spans="1:2" x14ac:dyDescent="0.3">
      <c r="A37">
        <v>210</v>
      </c>
      <c r="B37">
        <v>202</v>
      </c>
    </row>
    <row r="38" spans="1:2" x14ac:dyDescent="0.3">
      <c r="A38">
        <v>1320</v>
      </c>
      <c r="B38">
        <v>1301</v>
      </c>
    </row>
    <row r="39" spans="1:2" x14ac:dyDescent="0.3">
      <c r="A39">
        <v>910</v>
      </c>
      <c r="B39">
        <v>809</v>
      </c>
    </row>
    <row r="40" spans="1:2" x14ac:dyDescent="0.3">
      <c r="A40">
        <v>107</v>
      </c>
      <c r="B40">
        <v>1074</v>
      </c>
    </row>
    <row r="41" spans="1:2" x14ac:dyDescent="0.3">
      <c r="A41">
        <v>1078</v>
      </c>
      <c r="B41">
        <v>1067</v>
      </c>
    </row>
    <row r="42" spans="1:2" x14ac:dyDescent="0.3">
      <c r="A42">
        <v>520</v>
      </c>
      <c r="B42">
        <v>540</v>
      </c>
    </row>
    <row r="43" spans="1:2" x14ac:dyDescent="0.3">
      <c r="A43">
        <v>1302</v>
      </c>
      <c r="B43">
        <v>1062</v>
      </c>
    </row>
    <row r="44" spans="1:2" x14ac:dyDescent="0.3">
      <c r="A44">
        <v>1220</v>
      </c>
      <c r="B44">
        <v>1053</v>
      </c>
    </row>
    <row r="45" spans="1:2" x14ac:dyDescent="0.3">
      <c r="A45">
        <v>1038</v>
      </c>
      <c r="B45">
        <v>1103</v>
      </c>
    </row>
    <row r="46" spans="1:2" x14ac:dyDescent="0.3">
      <c r="A46">
        <v>1109</v>
      </c>
      <c r="B46">
        <v>1340</v>
      </c>
    </row>
    <row r="47" spans="1:2" x14ac:dyDescent="0.3">
      <c r="A47">
        <v>1450</v>
      </c>
      <c r="B47">
        <v>503</v>
      </c>
    </row>
    <row r="48" spans="1:2" x14ac:dyDescent="0.3">
      <c r="A48">
        <v>1206</v>
      </c>
      <c r="B48">
        <v>506</v>
      </c>
    </row>
    <row r="49" spans="1:2" x14ac:dyDescent="0.3">
      <c r="A49">
        <v>1045</v>
      </c>
      <c r="B49">
        <v>1094</v>
      </c>
    </row>
    <row r="50" spans="1:2" x14ac:dyDescent="0.3">
      <c r="A50">
        <v>1019</v>
      </c>
      <c r="B50">
        <v>1220</v>
      </c>
    </row>
    <row r="51" spans="1:2" x14ac:dyDescent="0.3">
      <c r="A51">
        <v>1068</v>
      </c>
      <c r="B51">
        <v>1430</v>
      </c>
    </row>
    <row r="52" spans="1:2" x14ac:dyDescent="0.3">
      <c r="A52">
        <v>1107</v>
      </c>
      <c r="B52">
        <v>360</v>
      </c>
    </row>
    <row r="53" spans="1:2" x14ac:dyDescent="0.3">
      <c r="A53">
        <v>1003</v>
      </c>
      <c r="B53">
        <v>1019</v>
      </c>
    </row>
    <row r="54" spans="1:2" x14ac:dyDescent="0.3">
      <c r="A54">
        <v>1007</v>
      </c>
      <c r="B54">
        <v>406</v>
      </c>
    </row>
    <row r="55" spans="1:2" x14ac:dyDescent="0.3">
      <c r="A55">
        <v>760</v>
      </c>
      <c r="B55">
        <v>1008</v>
      </c>
    </row>
    <row r="56" spans="1:2" x14ac:dyDescent="0.3">
      <c r="A56">
        <v>1100</v>
      </c>
      <c r="B56">
        <v>650</v>
      </c>
    </row>
    <row r="57" spans="1:2" x14ac:dyDescent="0.3">
      <c r="A57">
        <v>1021</v>
      </c>
      <c r="B57">
        <v>209</v>
      </c>
    </row>
    <row r="58" spans="1:2" x14ac:dyDescent="0.3">
      <c r="A58">
        <v>110</v>
      </c>
      <c r="B58">
        <v>1072</v>
      </c>
    </row>
    <row r="59" spans="1:2" x14ac:dyDescent="0.3">
      <c r="A59">
        <v>1088</v>
      </c>
      <c r="B59">
        <v>230</v>
      </c>
    </row>
    <row r="60" spans="1:2" x14ac:dyDescent="0.3">
      <c r="A60">
        <v>820</v>
      </c>
      <c r="B60">
        <v>1047</v>
      </c>
    </row>
    <row r="61" spans="1:2" x14ac:dyDescent="0.3">
      <c r="A61">
        <v>910</v>
      </c>
      <c r="B61">
        <v>350</v>
      </c>
    </row>
    <row r="62" spans="1:2" x14ac:dyDescent="0.3">
      <c r="A62">
        <v>1093</v>
      </c>
      <c r="B62">
        <v>901</v>
      </c>
    </row>
    <row r="63" spans="1:2" x14ac:dyDescent="0.3">
      <c r="A63">
        <v>1140</v>
      </c>
      <c r="B63">
        <v>701</v>
      </c>
    </row>
    <row r="64" spans="1:2" x14ac:dyDescent="0.3">
      <c r="A64">
        <v>1064</v>
      </c>
      <c r="B64">
        <v>1107</v>
      </c>
    </row>
    <row r="65" spans="1:2" x14ac:dyDescent="0.3">
      <c r="A65">
        <v>404</v>
      </c>
      <c r="B65">
        <v>208</v>
      </c>
    </row>
    <row r="66" spans="1:2" x14ac:dyDescent="0.3">
      <c r="A66">
        <v>300</v>
      </c>
      <c r="B66">
        <v>1022</v>
      </c>
    </row>
    <row r="67" spans="1:2" x14ac:dyDescent="0.3">
      <c r="A67">
        <v>1210</v>
      </c>
      <c r="B67">
        <v>440</v>
      </c>
    </row>
    <row r="68" spans="1:2" x14ac:dyDescent="0.3">
      <c r="A68">
        <v>830</v>
      </c>
      <c r="B68">
        <v>460</v>
      </c>
    </row>
    <row r="69" spans="1:2" x14ac:dyDescent="0.3">
      <c r="A69">
        <v>1150</v>
      </c>
      <c r="B69">
        <v>1043</v>
      </c>
    </row>
    <row r="70" spans="1:2" x14ac:dyDescent="0.3">
      <c r="A70">
        <v>804</v>
      </c>
      <c r="B70">
        <v>1008</v>
      </c>
    </row>
    <row r="71" spans="1:2" x14ac:dyDescent="0.3">
      <c r="A71">
        <v>1309</v>
      </c>
      <c r="B71">
        <v>408</v>
      </c>
    </row>
    <row r="72" spans="1:2" x14ac:dyDescent="0.3">
      <c r="A72">
        <v>1210</v>
      </c>
      <c r="B72">
        <v>307</v>
      </c>
    </row>
    <row r="73" spans="1:2" x14ac:dyDescent="0.3">
      <c r="A73">
        <v>320</v>
      </c>
      <c r="B73">
        <v>1048</v>
      </c>
    </row>
    <row r="74" spans="1:2" x14ac:dyDescent="0.3">
      <c r="A74">
        <v>1190</v>
      </c>
      <c r="B74">
        <v>660</v>
      </c>
    </row>
    <row r="75" spans="1:2" x14ac:dyDescent="0.3">
      <c r="A75">
        <v>204</v>
      </c>
      <c r="B75">
        <v>1020</v>
      </c>
    </row>
    <row r="76" spans="1:2" x14ac:dyDescent="0.3">
      <c r="A76">
        <v>1025</v>
      </c>
      <c r="B76">
        <v>1090</v>
      </c>
    </row>
    <row r="77" spans="1:2" x14ac:dyDescent="0.3">
      <c r="A77">
        <v>410</v>
      </c>
      <c r="B77">
        <v>508</v>
      </c>
    </row>
    <row r="78" spans="1:2" x14ac:dyDescent="0.3">
      <c r="A78">
        <v>450</v>
      </c>
      <c r="B78">
        <v>800</v>
      </c>
    </row>
    <row r="79" spans="1:2" x14ac:dyDescent="0.3">
      <c r="A79">
        <v>402</v>
      </c>
      <c r="B79">
        <v>804</v>
      </c>
    </row>
    <row r="80" spans="1:2" x14ac:dyDescent="0.3">
      <c r="A80">
        <v>310</v>
      </c>
      <c r="B80">
        <v>1058</v>
      </c>
    </row>
    <row r="81" spans="1:2" x14ac:dyDescent="0.3">
      <c r="A81">
        <v>1083</v>
      </c>
      <c r="B81">
        <v>102</v>
      </c>
    </row>
    <row r="82" spans="1:2" x14ac:dyDescent="0.3">
      <c r="A82">
        <v>1410</v>
      </c>
      <c r="B82">
        <v>1230</v>
      </c>
    </row>
    <row r="83" spans="1:2" x14ac:dyDescent="0.3">
      <c r="A83">
        <v>1020</v>
      </c>
      <c r="B83">
        <v>607</v>
      </c>
    </row>
    <row r="84" spans="1:2" x14ac:dyDescent="0.3">
      <c r="A84">
        <v>1360</v>
      </c>
      <c r="B84">
        <v>602</v>
      </c>
    </row>
    <row r="85" spans="1:2" x14ac:dyDescent="0.3">
      <c r="A85">
        <v>1058</v>
      </c>
      <c r="B85">
        <v>1403</v>
      </c>
    </row>
    <row r="86" spans="1:2" x14ac:dyDescent="0.3">
      <c r="A86">
        <v>1460</v>
      </c>
      <c r="B86">
        <v>1064</v>
      </c>
    </row>
    <row r="87" spans="1:2" x14ac:dyDescent="0.3">
      <c r="A87">
        <v>1065</v>
      </c>
      <c r="B87">
        <v>1077</v>
      </c>
    </row>
    <row r="88" spans="1:2" x14ac:dyDescent="0.3">
      <c r="A88">
        <v>508</v>
      </c>
      <c r="B88">
        <v>1098</v>
      </c>
    </row>
    <row r="89" spans="1:2" x14ac:dyDescent="0.3">
      <c r="A89">
        <v>1069</v>
      </c>
      <c r="B89">
        <v>702</v>
      </c>
    </row>
    <row r="90" spans="1:2" x14ac:dyDescent="0.3">
      <c r="A90">
        <v>380</v>
      </c>
      <c r="B90">
        <v>1080</v>
      </c>
    </row>
    <row r="91" spans="1:2" x14ac:dyDescent="0.3">
      <c r="A91">
        <v>1059</v>
      </c>
      <c r="B91">
        <v>706</v>
      </c>
    </row>
    <row r="92" spans="1:2" x14ac:dyDescent="0.3">
      <c r="A92">
        <v>1302</v>
      </c>
      <c r="B92">
        <v>1012</v>
      </c>
    </row>
    <row r="93" spans="1:2" x14ac:dyDescent="0.3">
      <c r="A93">
        <v>910</v>
      </c>
      <c r="B93">
        <v>510</v>
      </c>
    </row>
    <row r="94" spans="1:2" x14ac:dyDescent="0.3">
      <c r="A94">
        <v>1039</v>
      </c>
      <c r="B94">
        <v>130</v>
      </c>
    </row>
    <row r="95" spans="1:2" x14ac:dyDescent="0.3">
      <c r="A95">
        <v>270</v>
      </c>
      <c r="B95">
        <v>350</v>
      </c>
    </row>
    <row r="96" spans="1:2" x14ac:dyDescent="0.3">
      <c r="A96">
        <v>205</v>
      </c>
      <c r="B96">
        <v>930</v>
      </c>
    </row>
    <row r="97" spans="1:2" x14ac:dyDescent="0.3">
      <c r="A97">
        <v>1005</v>
      </c>
      <c r="B97">
        <v>1004</v>
      </c>
    </row>
    <row r="98" spans="1:2" x14ac:dyDescent="0.3">
      <c r="A98">
        <v>1014</v>
      </c>
      <c r="B98">
        <v>304</v>
      </c>
    </row>
    <row r="99" spans="1:2" x14ac:dyDescent="0.3">
      <c r="A99">
        <v>1052</v>
      </c>
      <c r="B99">
        <v>1190</v>
      </c>
    </row>
    <row r="100" spans="1:2" x14ac:dyDescent="0.3">
      <c r="A100">
        <v>1300</v>
      </c>
      <c r="B100">
        <v>840</v>
      </c>
    </row>
    <row r="101" spans="1:2" x14ac:dyDescent="0.3">
      <c r="A101">
        <v>1480</v>
      </c>
      <c r="B101">
        <v>1047</v>
      </c>
    </row>
    <row r="102" spans="1:2" x14ac:dyDescent="0.3">
      <c r="A102">
        <v>410</v>
      </c>
      <c r="B102">
        <v>410</v>
      </c>
    </row>
    <row r="103" spans="1:2" x14ac:dyDescent="0.3">
      <c r="A103">
        <v>1075</v>
      </c>
      <c r="B103">
        <v>1480</v>
      </c>
    </row>
    <row r="104" spans="1:2" x14ac:dyDescent="0.3">
      <c r="A104">
        <v>1085</v>
      </c>
      <c r="B104">
        <v>1044</v>
      </c>
    </row>
    <row r="105" spans="1:2" x14ac:dyDescent="0.3">
      <c r="A105">
        <v>703</v>
      </c>
      <c r="B105">
        <v>1057</v>
      </c>
    </row>
    <row r="106" spans="1:2" x14ac:dyDescent="0.3">
      <c r="A106">
        <v>1470</v>
      </c>
      <c r="B106">
        <v>1450</v>
      </c>
    </row>
    <row r="107" spans="1:2" x14ac:dyDescent="0.3">
      <c r="A107">
        <v>1209</v>
      </c>
      <c r="B107">
        <v>1190</v>
      </c>
    </row>
    <row r="108" spans="1:2" x14ac:dyDescent="0.3">
      <c r="A108">
        <v>1404</v>
      </c>
      <c r="B108">
        <v>1106</v>
      </c>
    </row>
    <row r="109" spans="1:2" x14ac:dyDescent="0.3">
      <c r="A109">
        <v>1042</v>
      </c>
      <c r="B109">
        <v>1080</v>
      </c>
    </row>
    <row r="110" spans="1:2" x14ac:dyDescent="0.3">
      <c r="A110">
        <v>1049</v>
      </c>
      <c r="B110">
        <v>1060</v>
      </c>
    </row>
    <row r="111" spans="1:2" x14ac:dyDescent="0.3">
      <c r="A111">
        <v>1350</v>
      </c>
      <c r="B111">
        <v>1403</v>
      </c>
    </row>
    <row r="112" spans="1:2" x14ac:dyDescent="0.3">
      <c r="A112">
        <v>707</v>
      </c>
      <c r="B112">
        <v>270</v>
      </c>
    </row>
    <row r="113" spans="1:2" x14ac:dyDescent="0.3">
      <c r="A113">
        <v>850</v>
      </c>
      <c r="B113">
        <v>1032</v>
      </c>
    </row>
    <row r="114" spans="1:2" x14ac:dyDescent="0.3">
      <c r="A114">
        <v>808</v>
      </c>
      <c r="B114">
        <v>1009</v>
      </c>
    </row>
    <row r="115" spans="1:2" x14ac:dyDescent="0.3">
      <c r="A115">
        <v>302</v>
      </c>
      <c r="B115">
        <v>1250</v>
      </c>
    </row>
    <row r="116" spans="1:2" x14ac:dyDescent="0.3">
      <c r="A116">
        <v>670</v>
      </c>
      <c r="B116">
        <v>1012</v>
      </c>
    </row>
    <row r="117" spans="1:2" x14ac:dyDescent="0.3">
      <c r="A117">
        <v>105</v>
      </c>
      <c r="B117">
        <v>230</v>
      </c>
    </row>
    <row r="118" spans="1:2" x14ac:dyDescent="0.3">
      <c r="A118">
        <v>170</v>
      </c>
      <c r="B118">
        <v>1160</v>
      </c>
    </row>
    <row r="119" spans="1:2" x14ac:dyDescent="0.3">
      <c r="A119">
        <v>1095</v>
      </c>
      <c r="B119">
        <v>609</v>
      </c>
    </row>
    <row r="120" spans="1:2" x14ac:dyDescent="0.3">
      <c r="A120">
        <v>670</v>
      </c>
      <c r="B120">
        <v>502</v>
      </c>
    </row>
    <row r="121" spans="1:2" x14ac:dyDescent="0.3">
      <c r="A121">
        <v>890</v>
      </c>
      <c r="B121">
        <v>1084</v>
      </c>
    </row>
    <row r="122" spans="1:2" x14ac:dyDescent="0.3">
      <c r="A122">
        <v>1409</v>
      </c>
      <c r="B122">
        <v>830</v>
      </c>
    </row>
    <row r="123" spans="1:2" x14ac:dyDescent="0.3">
      <c r="A123">
        <v>1160</v>
      </c>
    </row>
    <row r="124" spans="1:2" x14ac:dyDescent="0.3">
      <c r="A124">
        <v>1060</v>
      </c>
    </row>
    <row r="125" spans="1:2" x14ac:dyDescent="0.3">
      <c r="A125">
        <v>1021</v>
      </c>
    </row>
    <row r="126" spans="1:2" x14ac:dyDescent="0.3">
      <c r="A126">
        <v>304</v>
      </c>
    </row>
    <row r="127" spans="1:2" x14ac:dyDescent="0.3">
      <c r="A127">
        <v>880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83D6-729E-4909-B648-6DC0761FE056}">
  <dimension ref="A1:H15"/>
  <sheetViews>
    <sheetView workbookViewId="0">
      <selection activeCell="I19" sqref="I19"/>
    </sheetView>
  </sheetViews>
  <sheetFormatPr defaultRowHeight="14.4" x14ac:dyDescent="0.3"/>
  <sheetData>
    <row r="1" spans="1:8" x14ac:dyDescent="0.3">
      <c r="A1" s="6" t="s">
        <v>2</v>
      </c>
      <c r="B1" s="6"/>
      <c r="D1" s="6" t="s">
        <v>3</v>
      </c>
      <c r="E1" s="6"/>
      <c r="G1" s="6" t="s">
        <v>12</v>
      </c>
      <c r="H1" s="6"/>
    </row>
    <row r="2" spans="1:8" x14ac:dyDescent="0.3">
      <c r="A2" s="3"/>
      <c r="B2" s="3"/>
      <c r="D2" s="3"/>
      <c r="E2" s="3"/>
      <c r="G2" s="3"/>
      <c r="H2" s="3"/>
    </row>
    <row r="3" spans="1:8" x14ac:dyDescent="0.3">
      <c r="A3" s="3" t="s">
        <v>1040</v>
      </c>
      <c r="B3" s="3">
        <v>812.90990990990986</v>
      </c>
      <c r="D3" s="3" t="s">
        <v>1040</v>
      </c>
      <c r="E3" s="3">
        <v>9.1651651651651651</v>
      </c>
      <c r="G3" s="3" t="s">
        <v>1040</v>
      </c>
      <c r="H3" s="3">
        <v>4.2291291291291477</v>
      </c>
    </row>
    <row r="4" spans="1:8" x14ac:dyDescent="0.3">
      <c r="A4" s="3" t="s">
        <v>1041</v>
      </c>
      <c r="B4" s="3">
        <v>13.019988215474655</v>
      </c>
      <c r="D4" s="3" t="s">
        <v>1041</v>
      </c>
      <c r="E4" s="3">
        <v>0.13677658364493839</v>
      </c>
      <c r="G4" s="3" t="s">
        <v>1041</v>
      </c>
      <c r="H4" s="3">
        <v>1.3905468051937214E-2</v>
      </c>
    </row>
    <row r="5" spans="1:8" x14ac:dyDescent="0.3">
      <c r="A5" s="3" t="s">
        <v>1042</v>
      </c>
      <c r="B5" s="3">
        <v>821</v>
      </c>
      <c r="D5" s="3" t="s">
        <v>1042</v>
      </c>
      <c r="E5" s="3">
        <v>8</v>
      </c>
      <c r="G5" s="3" t="s">
        <v>1042</v>
      </c>
      <c r="H5" s="3">
        <v>4.2</v>
      </c>
    </row>
    <row r="6" spans="1:8" x14ac:dyDescent="0.3">
      <c r="A6" s="3" t="s">
        <v>1043</v>
      </c>
      <c r="B6" s="3">
        <v>342</v>
      </c>
      <c r="D6" s="3" t="s">
        <v>1043</v>
      </c>
      <c r="E6" s="3">
        <v>6</v>
      </c>
      <c r="G6" s="3" t="s">
        <v>1043</v>
      </c>
      <c r="H6" s="3">
        <v>3.7</v>
      </c>
    </row>
    <row r="7" spans="1:8" x14ac:dyDescent="0.3">
      <c r="A7" s="3" t="s">
        <v>1044</v>
      </c>
      <c r="B7" s="3">
        <v>411.52226311339194</v>
      </c>
      <c r="D7" s="3" t="s">
        <v>1044</v>
      </c>
      <c r="E7" s="3">
        <v>4.3230921803435152</v>
      </c>
      <c r="G7" s="3" t="s">
        <v>1044</v>
      </c>
      <c r="H7" s="3">
        <v>0.43950958999969847</v>
      </c>
    </row>
    <row r="8" spans="1:8" x14ac:dyDescent="0.3">
      <c r="A8" s="3" t="s">
        <v>1045</v>
      </c>
      <c r="B8" s="3">
        <v>169350.57303796778</v>
      </c>
      <c r="D8" s="3" t="s">
        <v>1045</v>
      </c>
      <c r="E8" s="3">
        <v>18.689125999747247</v>
      </c>
      <c r="G8" s="3" t="s">
        <v>1045</v>
      </c>
      <c r="H8" s="3">
        <v>0.19316867970170307</v>
      </c>
    </row>
    <row r="9" spans="1:8" x14ac:dyDescent="0.3">
      <c r="A9" s="3" t="s">
        <v>1046</v>
      </c>
      <c r="B9" s="3">
        <v>-1.2216500818881395</v>
      </c>
      <c r="D9" s="3" t="s">
        <v>1046</v>
      </c>
      <c r="E9" s="3">
        <v>-1.2416518920566737</v>
      </c>
      <c r="G9" s="3" t="s">
        <v>1046</v>
      </c>
      <c r="H9" s="3">
        <v>-1.1733137459356446</v>
      </c>
    </row>
    <row r="10" spans="1:8" x14ac:dyDescent="0.3">
      <c r="A10" s="3" t="s">
        <v>1047</v>
      </c>
      <c r="B10" s="3">
        <v>-5.6401914148650312E-2</v>
      </c>
      <c r="D10" s="3" t="s">
        <v>1047</v>
      </c>
      <c r="E10" s="3">
        <v>0.41384240371176856</v>
      </c>
      <c r="G10" s="3" t="s">
        <v>1047</v>
      </c>
      <c r="H10" s="3">
        <v>0.11456429106558953</v>
      </c>
    </row>
    <row r="11" spans="1:8" x14ac:dyDescent="0.3">
      <c r="A11" s="3" t="s">
        <v>1048</v>
      </c>
      <c r="B11" s="3">
        <v>1398</v>
      </c>
      <c r="D11" s="3" t="s">
        <v>1048</v>
      </c>
      <c r="E11" s="3">
        <v>12</v>
      </c>
      <c r="G11" s="3" t="s">
        <v>1048</v>
      </c>
      <c r="H11" s="3">
        <v>1.5</v>
      </c>
    </row>
    <row r="12" spans="1:8" x14ac:dyDescent="0.3">
      <c r="A12" s="3" t="s">
        <v>1049</v>
      </c>
      <c r="B12" s="3">
        <v>101</v>
      </c>
      <c r="D12" s="3" t="s">
        <v>1049</v>
      </c>
      <c r="E12" s="3">
        <v>4</v>
      </c>
      <c r="G12" s="3" t="s">
        <v>1049</v>
      </c>
      <c r="H12" s="3">
        <v>3.5</v>
      </c>
    </row>
    <row r="13" spans="1:8" x14ac:dyDescent="0.3">
      <c r="A13" s="3" t="s">
        <v>1050</v>
      </c>
      <c r="B13" s="3">
        <v>1499</v>
      </c>
      <c r="D13" s="3" t="s">
        <v>1050</v>
      </c>
      <c r="E13" s="3">
        <v>16</v>
      </c>
      <c r="G13" s="3" t="s">
        <v>1050</v>
      </c>
      <c r="H13" s="3">
        <v>5</v>
      </c>
    </row>
    <row r="14" spans="1:8" x14ac:dyDescent="0.3">
      <c r="A14" s="3" t="s">
        <v>1051</v>
      </c>
      <c r="B14" s="3">
        <v>812097</v>
      </c>
      <c r="D14" s="3" t="s">
        <v>1051</v>
      </c>
      <c r="E14" s="3">
        <v>9156</v>
      </c>
      <c r="G14" s="3" t="s">
        <v>1051</v>
      </c>
      <c r="H14" s="3">
        <v>4224.9000000000187</v>
      </c>
    </row>
    <row r="15" spans="1:8" ht="15" thickBot="1" x14ac:dyDescent="0.35">
      <c r="A15" s="4" t="s">
        <v>1052</v>
      </c>
      <c r="B15" s="4">
        <v>999</v>
      </c>
      <c r="D15" s="4" t="s">
        <v>1052</v>
      </c>
      <c r="E15" s="4">
        <v>999</v>
      </c>
      <c r="G15" s="4" t="s">
        <v>1052</v>
      </c>
      <c r="H15" s="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Global_Mobile_Prices_2025_Exten</vt:lpstr>
      <vt:lpstr>T-test results</vt:lpstr>
      <vt:lpstr>Diff 5G-non5G</vt:lpstr>
      <vt:lpstr>Descriptives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teamkilla none</dc:creator>
  <cp:lastModifiedBy>caleb mccombs</cp:lastModifiedBy>
  <dcterms:created xsi:type="dcterms:W3CDTF">2025-11-22T01:36:06Z</dcterms:created>
  <dcterms:modified xsi:type="dcterms:W3CDTF">2025-11-22T01:36:06Z</dcterms:modified>
</cp:coreProperties>
</file>